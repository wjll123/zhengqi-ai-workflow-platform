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400" windowHeight="10080" tabRatio="604"/>
  </bookViews>
  <sheets>
    <sheet name="模板" sheetId="4" r:id="rId1"/>
    <sheet name="拍照客户_客户级" sheetId="6" r:id="rId2"/>
    <sheet name="拍照客户_业务级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<sst xmlns="http://schemas.openxmlformats.org/spreadsheetml/2006/main" count="907" uniqueCount="190">
  <si>
    <t>统计月</t>
  </si>
  <si>
    <t>X</t>
  </si>
  <si>
    <t>存量贡献</t>
  </si>
  <si>
    <t>增收分解</t>
  </si>
  <si>
    <t>客保率</t>
  </si>
  <si>
    <t>收保率</t>
  </si>
  <si>
    <t>价值</t>
  </si>
  <si>
    <t>收入影响因素</t>
  </si>
  <si>
    <t>产品收保</t>
  </si>
  <si>
    <t>用户保有</t>
  </si>
  <si>
    <t>存量增收
(万元)</t>
  </si>
  <si>
    <t>政企提值客户增收(万元)</t>
  </si>
  <si>
    <t>政企降值客户损收(万元)</t>
  </si>
  <si>
    <t>政企离网客户损收(万元)</t>
  </si>
  <si>
    <t>正波动客户累计变动(万元)</t>
  </si>
  <si>
    <t>负波动客户累计变动(万元)</t>
  </si>
  <si>
    <t>政企客保率(%)</t>
  </si>
  <si>
    <t>环比上月
(PP)</t>
  </si>
  <si>
    <t>同比去年
(PP)</t>
  </si>
  <si>
    <t>政企客户
收保率(%)</t>
  </si>
  <si>
    <t>政企月均收入增幅(%)</t>
  </si>
  <si>
    <t>政企留存客户拉动(pp)</t>
  </si>
  <si>
    <t>政企提值客户拉动(pp)</t>
  </si>
  <si>
    <t>政企降值客户拉动(pp)</t>
  </si>
  <si>
    <t>政企离网客户拉动(pp)</t>
  </si>
  <si>
    <t>政企基本面收入拉动(pp)</t>
  </si>
  <si>
    <t>政企双线收入拉动(pp)</t>
  </si>
  <si>
    <t>政企其他收入拉动(pp)</t>
  </si>
  <si>
    <t>基本面
收保率(%)</t>
  </si>
  <si>
    <t>移动收入保有率(%)</t>
  </si>
  <si>
    <t>移动用户保有率(%)</t>
  </si>
  <si>
    <t>宽带收入保有率(%)</t>
  </si>
  <si>
    <t>宽带用户保有率(%)</t>
  </si>
  <si>
    <t>itv收入保有率(%)</t>
  </si>
  <si>
    <t>itv用户保有率(%)</t>
  </si>
  <si>
    <t>固话收入保有率(%)</t>
  </si>
  <si>
    <t>固话用户保有率(%)</t>
  </si>
  <si>
    <t>双线
收保率(%)</t>
  </si>
  <si>
    <t>互联网专线收入保有率(%)</t>
  </si>
  <si>
    <t>互联网专线用户保有率(%)</t>
  </si>
  <si>
    <t>组网专线收入保有率(%)</t>
  </si>
  <si>
    <t>组网专线用户保有率(%)</t>
  </si>
  <si>
    <t>其他用户
收保率(%)</t>
  </si>
  <si>
    <t>全省</t>
  </si>
  <si>
    <t>珠一</t>
  </si>
  <si>
    <t>深圳</t>
  </si>
  <si>
    <t>广州</t>
  </si>
  <si>
    <t>东莞</t>
  </si>
  <si>
    <t>佛山</t>
  </si>
  <si>
    <t>珠二</t>
  </si>
  <si>
    <t>中山</t>
  </si>
  <si>
    <t>惠州</t>
  </si>
  <si>
    <t>江门</t>
  </si>
  <si>
    <t>珠海</t>
  </si>
  <si>
    <t>粤东</t>
  </si>
  <si>
    <t>汕头</t>
  </si>
  <si>
    <t>揭阳</t>
  </si>
  <si>
    <t>潮州</t>
  </si>
  <si>
    <t>汕尾</t>
  </si>
  <si>
    <t>粤西</t>
  </si>
  <si>
    <t>茂名</t>
  </si>
  <si>
    <t>湛江</t>
  </si>
  <si>
    <t>阳江</t>
  </si>
  <si>
    <t>云浮</t>
  </si>
  <si>
    <t>粤北</t>
  </si>
  <si>
    <t>清远</t>
  </si>
  <si>
    <t>肇庆</t>
  </si>
  <si>
    <t>梅州</t>
  </si>
  <si>
    <t>韶关</t>
  </si>
  <si>
    <t>河源</t>
  </si>
  <si>
    <t>MSY_005_2023年拍照客户月报1（客户级）</t>
  </si>
  <si>
    <t>分公司</t>
  </si>
  <si>
    <t>区县</t>
  </si>
  <si>
    <t>营服中心</t>
  </si>
  <si>
    <t>包区</t>
  </si>
  <si>
    <t>数据粒度</t>
  </si>
  <si>
    <t>【拍照客户】客户保有率及客户流向</t>
  </si>
  <si>
    <t>【拍照客户】收入保有率及变动价值影响</t>
  </si>
  <si>
    <t>【拍照客户】月均收入及ARPU变动分析</t>
  </si>
  <si>
    <t>拍照客户(户)</t>
  </si>
  <si>
    <t>出账客户(户)</t>
  </si>
  <si>
    <t>离网客户量(户)</t>
  </si>
  <si>
    <t>客户保有率(%)</t>
  </si>
  <si>
    <t>分类客户占比(%)</t>
  </si>
  <si>
    <t>存量客户客均拉新率(%)</t>
  </si>
  <si>
    <t>拍照年收入(元)</t>
  </si>
  <si>
    <t>年累计收入(元)</t>
  </si>
  <si>
    <t>价值变动客户累计收入变动额(元)</t>
  </si>
  <si>
    <t>累计收入保有率(%)</t>
  </si>
  <si>
    <t>价值变动额影响收保率(pp)</t>
  </si>
  <si>
    <t>拍照月均收入(元)</t>
  </si>
  <si>
    <t>本月收入(元)</t>
  </si>
  <si>
    <t>存量收入增幅(%)</t>
  </si>
  <si>
    <t>收入拉动(%)</t>
  </si>
  <si>
    <t>拍照ARPU(元/月)</t>
  </si>
  <si>
    <t>本年ARPU(元/月)</t>
  </si>
  <si>
    <t>户均价值变动额(元/月)</t>
  </si>
  <si>
    <t>合计</t>
  </si>
  <si>
    <t>价值提升客户</t>
  </si>
  <si>
    <t>价值下降客户</t>
  </si>
  <si>
    <t>价值正波动客户</t>
  </si>
  <si>
    <t>价值负波动客户</t>
  </si>
  <si>
    <t>到达(%)</t>
  </si>
  <si>
    <t>同比去年(pp)</t>
  </si>
  <si>
    <t>环比上月(pp)</t>
  </si>
  <si>
    <t>价值提升客户占比</t>
  </si>
  <si>
    <t>价值下降客户占比</t>
  </si>
  <si>
    <t>价值正波动客户占比</t>
  </si>
  <si>
    <t>价值负波动客户占比</t>
  </si>
  <si>
    <t>离网客户占比</t>
  </si>
  <si>
    <t>用户来源分类</t>
  </si>
  <si>
    <t>异常用户</t>
  </si>
  <si>
    <t>提值客户累计增收</t>
  </si>
  <si>
    <t>降值客户累计损收</t>
  </si>
  <si>
    <t>正波动客户累计变动</t>
  </si>
  <si>
    <t>负波动客户累计变动</t>
  </si>
  <si>
    <t>离网客户累计损收</t>
  </si>
  <si>
    <t>不同来源用户收入贡献(pp)</t>
  </si>
  <si>
    <t>异常收入影响(pp)</t>
  </si>
  <si>
    <t>提值增收影响</t>
  </si>
  <si>
    <t>降值损收影响</t>
  </si>
  <si>
    <t>正波动价值影响</t>
  </si>
  <si>
    <t>负波动价值影响</t>
  </si>
  <si>
    <t>离网损收影响</t>
  </si>
  <si>
    <t>本月</t>
  </si>
  <si>
    <t>月均</t>
  </si>
  <si>
    <t>留存客户</t>
  </si>
  <si>
    <t>离网客户</t>
  </si>
  <si>
    <t>到达</t>
  </si>
  <si>
    <t>拍照存量用户</t>
  </si>
  <si>
    <t>非拍照存量用户</t>
  </si>
  <si>
    <t>本年新增用户</t>
  </si>
  <si>
    <t>重出账用户</t>
  </si>
  <si>
    <t>本年度新增用户</t>
  </si>
  <si>
    <t>提值客户</t>
  </si>
  <si>
    <t>降值客户</t>
  </si>
  <si>
    <t>正波动客户</t>
  </si>
  <si>
    <t>负波动客户</t>
  </si>
  <si>
    <t>市分公司</t>
  </si>
  <si>
    <t>MSY_005_2023年拍照客户月报2（业务级）</t>
  </si>
  <si>
    <t>区县公司</t>
  </si>
  <si>
    <t>【拍照客户-分业务】用户保有率及活跃率</t>
  </si>
  <si>
    <t>【拍照客户-分业务】收入保有</t>
  </si>
  <si>
    <t>【拍照客户-专项归集】收入拉动</t>
  </si>
  <si>
    <t>拍照用户(户)</t>
  </si>
  <si>
    <t>本月出账/计费用户(户)</t>
  </si>
  <si>
    <t>用户保有率/活跃率(%)</t>
  </si>
  <si>
    <t>分业务收入保有率</t>
  </si>
  <si>
    <t>拍照月均年收入(元)</t>
  </si>
  <si>
    <t>收入拉动(pp)</t>
  </si>
  <si>
    <t>移动</t>
  </si>
  <si>
    <t>普通宽带</t>
  </si>
  <si>
    <t>天翼高清</t>
  </si>
  <si>
    <t>固话</t>
  </si>
  <si>
    <t>互联网专线</t>
  </si>
  <si>
    <t>组网专线</t>
  </si>
  <si>
    <t>其他用户</t>
  </si>
  <si>
    <t>分业务</t>
  </si>
  <si>
    <t>产品用户归集</t>
  </si>
  <si>
    <t>收入科目归集</t>
  </si>
  <si>
    <t>移动有效</t>
  </si>
  <si>
    <t>移动沉默</t>
  </si>
  <si>
    <t>互联网卡</t>
  </si>
  <si>
    <t>家宽有效</t>
  </si>
  <si>
    <t>其他宽带</t>
  </si>
  <si>
    <t>出账用户(户)</t>
  </si>
  <si>
    <t>活跃出账用户(户)</t>
  </si>
  <si>
    <t>计费用户(户)</t>
  </si>
  <si>
    <t>活跃计费用户(户)</t>
  </si>
  <si>
    <t>用户保有率(%)</t>
  </si>
  <si>
    <t>用户有效保有率(%)</t>
  </si>
  <si>
    <t>用户活跃率(%)</t>
  </si>
  <si>
    <t>基本面</t>
  </si>
  <si>
    <t>双线</t>
  </si>
  <si>
    <t>其他</t>
  </si>
  <si>
    <t>基础业务</t>
  </si>
  <si>
    <t>产业数字化</t>
  </si>
  <si>
    <t>基本面用户</t>
  </si>
  <si>
    <t>双线用户</t>
  </si>
  <si>
    <t>用户来源</t>
  </si>
  <si>
    <t>不同来源用户贡献(pp)</t>
  </si>
  <si>
    <t>分类用户保有率</t>
  </si>
  <si>
    <t>分类用户活跃率</t>
  </si>
  <si>
    <t>小计</t>
  </si>
  <si>
    <t>非拍照移动</t>
  </si>
  <si>
    <t>非拍照宽带</t>
  </si>
  <si>
    <t>收入保有率(%)</t>
  </si>
  <si>
    <t>分类用户收保率(%)</t>
  </si>
  <si>
    <t>异常用户收入影响(pp)</t>
  </si>
  <si>
    <t>宽带有效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</si>
</sst>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0"/>
    <numFmt numFmtId="177" formatCode="0_ "/>
    <numFmt numFmtId="178" formatCode="0.000"/>
  </numFmts>
  <fonts count="33">
    <font>
      <sz val="9"/>
      <color theme="1"/>
      <name val="等线"/>
      <charset val="134"/>
      <scheme val="minor"/>
    </font>
    <font>
      <sz val="11"/>
      <color indexed="8"/>
      <name val="等线"/>
      <charset val="1"/>
      <scheme val="minor"/>
    </font>
    <font>
      <sz val="11"/>
      <color indexed="8"/>
      <name val="等线"/>
      <charset val="1"/>
      <scheme val="minor"/>
    </font>
    <font>
      <b/>
      <u/>
      <sz val="14"/>
      <color rgb="FF000000"/>
      <name val="WenQuanYi Micro Hei"/>
      <charset val="134"/>
    </font>
    <font>
      <b/>
      <sz val="10"/>
      <color rgb="FFFFFFFF"/>
      <name val="微软雅黑 Light"/>
      <charset val="134"/>
    </font>
    <font>
      <sz val="9"/>
      <color rgb="FF000000"/>
      <name val="微软雅黑"/>
      <charset val="134"/>
    </font>
    <font>
      <sz val="9"/>
      <color theme="0" tint="-0.349986266670736"/>
      <name val="微软雅黑"/>
      <charset val="134"/>
    </font>
    <font>
      <b/>
      <sz val="9"/>
      <color theme="4"/>
      <name val="微软雅黑"/>
      <charset val="134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8"/>
      <name val="微软雅黑"/>
      <charset val="134"/>
    </font>
    <font>
      <sz val="8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94F8"/>
        <bgColor rgb="FF0094F8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rgb="FF76BFE9"/>
      </left>
      <right style="thin">
        <color rgb="FF76BFE9"/>
      </right>
      <top style="thin">
        <color rgb="FF76BFE9"/>
      </top>
      <bottom style="thin">
        <color rgb="FF76BFE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3" tint="0.799920651875362"/>
      </right>
      <top style="medium">
        <color theme="3" tint="0.599963377788629"/>
      </top>
      <bottom/>
      <diagonal/>
    </border>
    <border>
      <left style="thin">
        <color theme="3" tint="0.799920651875362"/>
      </left>
      <right style="thin">
        <color theme="3" tint="0.799890133365886"/>
      </right>
      <top style="thin">
        <color theme="3" tint="0.799890133365886"/>
      </top>
      <bottom/>
      <diagonal/>
    </border>
    <border>
      <left style="thin">
        <color theme="3" tint="0.799920651875362"/>
      </left>
      <right style="thin">
        <color theme="3" tint="0.799920651875362"/>
      </right>
      <top style="medium">
        <color theme="3" tint="0.599963377788629"/>
      </top>
      <bottom/>
      <diagonal/>
    </border>
    <border>
      <left style="medium">
        <color theme="8" tint="0.399792474135563"/>
      </left>
      <right/>
      <top style="medium">
        <color theme="8" tint="0.399792474135563"/>
      </top>
      <bottom/>
      <diagonal/>
    </border>
    <border>
      <left/>
      <right style="medium">
        <color theme="3" tint="0.599963377788629"/>
      </right>
      <top style="medium">
        <color theme="8" tint="0.399792474135563"/>
      </top>
      <bottom/>
      <diagonal/>
    </border>
    <border>
      <left style="thin">
        <color theme="3" tint="0.799920651875362"/>
      </left>
      <right style="thin">
        <color theme="3" tint="0.799920651875362"/>
      </right>
      <top style="medium">
        <color theme="8" tint="0.399792474135563"/>
      </top>
      <bottom/>
      <diagonal/>
    </border>
    <border>
      <left style="thin">
        <color theme="3" tint="0.799920651875362"/>
      </left>
      <right style="thin">
        <color theme="3" tint="0.799920651875362"/>
      </right>
      <top style="medium">
        <color theme="8" tint="0.399792474135563"/>
      </top>
      <bottom style="medium">
        <color theme="3" tint="0.599963377788629"/>
      </bottom>
      <diagonal/>
    </border>
    <border>
      <left style="medium">
        <color theme="8" tint="0.399792474135563"/>
      </left>
      <right style="thin">
        <color theme="8" tint="0.599963377788629"/>
      </right>
      <top/>
      <bottom/>
      <diagonal/>
    </border>
    <border>
      <left style="thin">
        <color theme="8" tint="0.599963377788629"/>
      </left>
      <right/>
      <top/>
      <bottom/>
      <diagonal/>
    </border>
    <border>
      <left style="thin">
        <color theme="8" tint="0.799981688894314"/>
      </left>
      <right style="thin">
        <color theme="8" tint="0.799981688894314"/>
      </right>
      <top style="thin">
        <color theme="8" tint="0.799981688894314"/>
      </top>
      <bottom/>
      <diagonal/>
    </border>
    <border>
      <left style="medium">
        <color theme="8" tint="0.399792474135563"/>
      </left>
      <right style="thin">
        <color theme="8" tint="0.599963377788629"/>
      </right>
      <top style="medium">
        <color theme="8" tint="0.399822992645039"/>
      </top>
      <bottom style="thin">
        <color theme="3" tint="0.799920651875362"/>
      </bottom>
      <diagonal/>
    </border>
    <border>
      <left style="thin">
        <color theme="8" tint="0.599963377788629"/>
      </left>
      <right style="medium">
        <color theme="8" tint="0.399853511154515"/>
      </right>
      <top style="medium">
        <color theme="8" tint="0.399822992645039"/>
      </top>
      <bottom style="thin">
        <color theme="3" tint="0.799920651875362"/>
      </bottom>
      <diagonal/>
    </border>
    <border>
      <left/>
      <right style="thin">
        <color theme="8" tint="0.799981688894314"/>
      </right>
      <top style="medium">
        <color theme="8" tint="0.399822992645039"/>
      </top>
      <bottom style="thin">
        <color theme="8" tint="0.799981688894314"/>
      </bottom>
      <diagonal/>
    </border>
    <border>
      <left style="thin">
        <color theme="8" tint="0.799981688894314"/>
      </left>
      <right style="thin">
        <color theme="8" tint="0.799981688894314"/>
      </right>
      <top style="medium">
        <color theme="8" tint="0.399822992645039"/>
      </top>
      <bottom style="thin">
        <color theme="8" tint="0.799981688894314"/>
      </bottom>
      <diagonal/>
    </border>
    <border>
      <left style="medium">
        <color theme="8" tint="0.399792474135563"/>
      </left>
      <right style="thin">
        <color theme="8" tint="0.599963377788629"/>
      </right>
      <top style="thin">
        <color theme="3" tint="0.799920651875362"/>
      </top>
      <bottom style="thin">
        <color theme="3" tint="0.799920651875362"/>
      </bottom>
      <diagonal/>
    </border>
    <border>
      <left style="thin">
        <color theme="8" tint="0.599963377788629"/>
      </left>
      <right style="medium">
        <color theme="8" tint="0.399853511154515"/>
      </right>
      <top style="thin">
        <color theme="3" tint="0.799920651875362"/>
      </top>
      <bottom style="thin">
        <color theme="3" tint="0.799920651875362"/>
      </bottom>
      <diagonal/>
    </border>
    <border>
      <left/>
      <right style="thin">
        <color theme="8" tint="0.799981688894314"/>
      </right>
      <top style="thin">
        <color theme="8" tint="0.799981688894314"/>
      </top>
      <bottom style="thin">
        <color theme="8" tint="0.799981688894314"/>
      </bottom>
      <diagonal/>
    </border>
    <border>
      <left style="thin">
        <color theme="8" tint="0.799981688894314"/>
      </left>
      <right style="thin">
        <color theme="8" tint="0.799981688894314"/>
      </right>
      <top style="thin">
        <color theme="8" tint="0.799981688894314"/>
      </top>
      <bottom style="thin">
        <color theme="8" tint="0.799981688894314"/>
      </bottom>
      <diagonal/>
    </border>
    <border>
      <left style="medium">
        <color theme="8" tint="0.399792474135563"/>
      </left>
      <right style="thin">
        <color theme="8" tint="0.599963377788629"/>
      </right>
      <top style="thin">
        <color theme="3" tint="0.799920651875362"/>
      </top>
      <bottom style="medium">
        <color theme="8" tint="0.399822992645039"/>
      </bottom>
      <diagonal/>
    </border>
    <border>
      <left style="thin">
        <color theme="8" tint="0.599963377788629"/>
      </left>
      <right style="medium">
        <color theme="8" tint="0.399853511154515"/>
      </right>
      <top style="thin">
        <color theme="3" tint="0.799920651875362"/>
      </top>
      <bottom style="medium">
        <color theme="8" tint="0.399822992645039"/>
      </bottom>
      <diagonal/>
    </border>
    <border>
      <left/>
      <right style="thin">
        <color theme="8" tint="0.799981688894314"/>
      </right>
      <top style="thin">
        <color theme="8" tint="0.799981688894314"/>
      </top>
      <bottom style="medium">
        <color theme="8" tint="0.399822992645039"/>
      </bottom>
      <diagonal/>
    </border>
    <border>
      <left style="thin">
        <color theme="8" tint="0.799981688894314"/>
      </left>
      <right style="thin">
        <color theme="8" tint="0.799981688894314"/>
      </right>
      <top style="thin">
        <color theme="8" tint="0.799981688894314"/>
      </top>
      <bottom style="medium">
        <color theme="8" tint="0.399822992645039"/>
      </bottom>
      <diagonal/>
    </border>
    <border>
      <left style="medium">
        <color theme="8" tint="0.399792474135563"/>
      </left>
      <right style="thin">
        <color theme="8" tint="0.599963377788629"/>
      </right>
      <top/>
      <bottom style="thin">
        <color theme="3" tint="0.799920651875362"/>
      </bottom>
      <diagonal/>
    </border>
    <border>
      <left style="thin">
        <color theme="8" tint="0.599963377788629"/>
      </left>
      <right style="medium">
        <color theme="8" tint="0.399853511154515"/>
      </right>
      <top/>
      <bottom style="thin">
        <color theme="3" tint="0.799920651875362"/>
      </bottom>
      <diagonal/>
    </border>
    <border>
      <left/>
      <right style="thin">
        <color theme="8" tint="0.799981688894314"/>
      </right>
      <top/>
      <bottom style="thin">
        <color theme="8" tint="0.799981688894314"/>
      </bottom>
      <diagonal/>
    </border>
    <border>
      <left style="thin">
        <color theme="8" tint="0.799981688894314"/>
      </left>
      <right style="thin">
        <color theme="8" tint="0.799981688894314"/>
      </right>
      <top/>
      <bottom style="thin">
        <color theme="8" tint="0.799981688894314"/>
      </bottom>
      <diagonal/>
    </border>
    <border>
      <left style="medium">
        <color theme="8" tint="0.399792474135563"/>
      </left>
      <right style="thin">
        <color theme="8" tint="0.599963377788629"/>
      </right>
      <top style="thin">
        <color theme="3" tint="0.799920651875362"/>
      </top>
      <bottom/>
      <diagonal/>
    </border>
    <border>
      <left style="thin">
        <color theme="8" tint="0.599963377788629"/>
      </left>
      <right style="medium">
        <color theme="8" tint="0.399853511154515"/>
      </right>
      <top style="thin">
        <color theme="3" tint="0.799920651875362"/>
      </top>
      <bottom/>
      <diagonal/>
    </border>
    <border>
      <left/>
      <right style="thin">
        <color theme="8" tint="0.799981688894314"/>
      </right>
      <top style="thin">
        <color theme="8" tint="0.799981688894314"/>
      </top>
      <bottom/>
      <diagonal/>
    </border>
    <border>
      <left style="medium">
        <color theme="8" tint="0.399792474135563"/>
      </left>
      <right style="thin">
        <color theme="8" tint="0.599963377788629"/>
      </right>
      <top style="thin">
        <color theme="3" tint="0.799920651875362"/>
      </top>
      <bottom style="medium">
        <color theme="8" tint="0.399792474135563"/>
      </bottom>
      <diagonal/>
    </border>
    <border>
      <left style="thin">
        <color theme="8" tint="0.599963377788629"/>
      </left>
      <right style="medium">
        <color theme="8" tint="0.399853511154515"/>
      </right>
      <top style="thin">
        <color theme="3" tint="0.799920651875362"/>
      </top>
      <bottom style="medium">
        <color theme="8" tint="0.399792474135563"/>
      </bottom>
      <diagonal/>
    </border>
    <border>
      <left/>
      <right style="thin">
        <color theme="8" tint="0.799981688894314"/>
      </right>
      <top style="thin">
        <color theme="8" tint="0.799981688894314"/>
      </top>
      <bottom style="medium">
        <color theme="8" tint="0.399792474135563"/>
      </bottom>
      <diagonal/>
    </border>
    <border>
      <left style="thin">
        <color theme="8" tint="0.799981688894314"/>
      </left>
      <right style="thin">
        <color theme="8" tint="0.799981688894314"/>
      </right>
      <top style="thin">
        <color theme="8" tint="0.799981688894314"/>
      </top>
      <bottom style="medium">
        <color theme="8" tint="0.3997924741355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3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7" applyNumberFormat="0" applyFill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39" applyNumberFormat="0" applyAlignment="0" applyProtection="0">
      <alignment vertical="center"/>
    </xf>
    <xf numFmtId="0" fontId="23" fillId="9" borderId="40" applyNumberFormat="0" applyAlignment="0" applyProtection="0">
      <alignment vertical="center"/>
    </xf>
    <xf numFmtId="0" fontId="24" fillId="9" borderId="39" applyNumberFormat="0" applyAlignment="0" applyProtection="0">
      <alignment vertical="center"/>
    </xf>
    <xf numFmtId="0" fontId="25" fillId="10" borderId="41" applyNumberFormat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7" fillId="0" borderId="43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176" fontId="5" fillId="0" borderId="2" xfId="0" applyNumberFormat="1" applyFont="1" applyFill="1" applyBorder="1" applyAlignment="1">
      <alignment vertical="center" wrapText="1"/>
    </xf>
    <xf numFmtId="0" fontId="0" fillId="0" borderId="0" xfId="0" applyFo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177" fontId="7" fillId="0" borderId="4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57" fontId="7" fillId="0" borderId="6" xfId="0" applyNumberFormat="1" applyFont="1" applyFill="1" applyBorder="1" applyAlignment="1">
      <alignment horizontal="center" vertical="center"/>
    </xf>
    <xf numFmtId="57" fontId="7" fillId="0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2" fontId="11" fillId="0" borderId="12" xfId="0" applyNumberFormat="1" applyFont="1" applyFill="1" applyBorder="1" applyAlignment="1">
      <alignment horizontal="center" vertical="center"/>
    </xf>
    <xf numFmtId="178" fontId="11" fillId="0" borderId="12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2" fontId="11" fillId="0" borderId="15" xfId="0" applyNumberFormat="1" applyFont="1" applyFill="1" applyBorder="1" applyAlignment="1">
      <alignment horizontal="center" vertical="center"/>
    </xf>
    <xf numFmtId="2" fontId="11" fillId="0" borderId="16" xfId="0" applyNumberFormat="1" applyFont="1" applyFill="1" applyBorder="1" applyAlignment="1">
      <alignment horizontal="center" vertical="center"/>
    </xf>
    <xf numFmtId="178" fontId="11" fillId="0" borderId="15" xfId="0" applyNumberFormat="1" applyFont="1" applyFill="1" applyBorder="1" applyAlignment="1">
      <alignment horizontal="center" vertical="center"/>
    </xf>
    <xf numFmtId="178" fontId="12" fillId="0" borderId="16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2" fontId="11" fillId="0" borderId="19" xfId="0" applyNumberFormat="1" applyFont="1" applyFill="1" applyBorder="1" applyAlignment="1">
      <alignment horizontal="center" vertical="center"/>
    </xf>
    <xf numFmtId="2" fontId="11" fillId="0" borderId="20" xfId="0" applyNumberFormat="1" applyFont="1" applyFill="1" applyBorder="1" applyAlignment="1">
      <alignment horizontal="center" vertical="center"/>
    </xf>
    <xf numFmtId="178" fontId="11" fillId="0" borderId="19" xfId="0" applyNumberFormat="1" applyFont="1" applyFill="1" applyBorder="1" applyAlignment="1">
      <alignment horizontal="center" vertical="center"/>
    </xf>
    <xf numFmtId="178" fontId="12" fillId="0" borderId="20" xfId="0" applyNumberFormat="1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2" fontId="11" fillId="0" borderId="23" xfId="0" applyNumberFormat="1" applyFont="1" applyFill="1" applyBorder="1" applyAlignment="1">
      <alignment horizontal="center" vertical="center"/>
    </xf>
    <xf numFmtId="2" fontId="11" fillId="0" borderId="24" xfId="0" applyNumberFormat="1" applyFont="1" applyFill="1" applyBorder="1" applyAlignment="1">
      <alignment horizontal="center" vertical="center"/>
    </xf>
    <xf numFmtId="178" fontId="11" fillId="0" borderId="23" xfId="0" applyNumberFormat="1" applyFont="1" applyFill="1" applyBorder="1" applyAlignment="1">
      <alignment horizontal="center" vertical="center"/>
    </xf>
    <xf numFmtId="178" fontId="12" fillId="0" borderId="24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2" fontId="11" fillId="0" borderId="27" xfId="0" applyNumberFormat="1" applyFont="1" applyFill="1" applyBorder="1" applyAlignment="1">
      <alignment horizontal="center" vertical="center"/>
    </xf>
    <xf numFmtId="2" fontId="11" fillId="0" borderId="28" xfId="0" applyNumberFormat="1" applyFont="1" applyFill="1" applyBorder="1" applyAlignment="1">
      <alignment horizontal="center" vertical="center"/>
    </xf>
    <xf numFmtId="178" fontId="11" fillId="0" borderId="27" xfId="0" applyNumberFormat="1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2" fontId="11" fillId="0" borderId="31" xfId="0" applyNumberFormat="1" applyFont="1" applyFill="1" applyBorder="1" applyAlignment="1">
      <alignment horizontal="center" vertical="center"/>
    </xf>
    <xf numFmtId="178" fontId="11" fillId="0" borderId="31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2" fontId="11" fillId="0" borderId="34" xfId="0" applyNumberFormat="1" applyFont="1" applyFill="1" applyBorder="1" applyAlignment="1">
      <alignment horizontal="center" vertical="center"/>
    </xf>
    <xf numFmtId="2" fontId="11" fillId="0" borderId="35" xfId="0" applyNumberFormat="1" applyFont="1" applyFill="1" applyBorder="1" applyAlignment="1">
      <alignment horizontal="center" vertical="center"/>
    </xf>
    <xf numFmtId="178" fontId="11" fillId="0" borderId="34" xfId="0" applyNumberFormat="1" applyFont="1" applyFill="1" applyBorder="1" applyAlignment="1">
      <alignment horizontal="center" vertical="center"/>
    </xf>
    <xf numFmtId="178" fontId="12" fillId="0" borderId="35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theme="9"/>
      </font>
    </dxf>
    <dxf>
      <font>
        <color rgb="FFFF0000"/>
      </font>
    </dxf>
  </dxfs>
  <tableStyles count="0" defaultTableStyle="TableStyleMedium2" defaultPivotStyle="PivotStyleLight16"/>
  <colors>
    <mruColors>
      <color rgb="00006600"/>
      <color rgb="00008080"/>
      <color rgb="000000FF"/>
      <color rgb="00CCFFCC"/>
      <color rgb="00A50021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O24"/>
  <sheetViews>
    <sheetView tabSelected="1" zoomScale="85" zoomScaleNormal="85" workbookViewId="0">
      <pane xSplit="2" ySplit="3" topLeftCell="C4" activePane="bottomRight" state="frozen"/>
      <selection/>
      <selection pane="topRight"/>
      <selection pane="bottomLeft"/>
      <selection pane="bottomRight" activeCell="A3" sqref="$A3:$XFD24"/>
    </sheetView>
  </sheetViews>
  <sheetFormatPr defaultColWidth="9" defaultRowHeight="11.5"/>
  <cols>
    <col min="1" max="1" width="7.5" customWidth="1"/>
    <col min="2" max="2" width="12.1666666666667"/>
    <col min="3" max="3" width="13.8555555555556" customWidth="1"/>
    <col min="4" max="4" width="17.2444444444444" customWidth="1" outlineLevel="1"/>
    <col min="5" max="7" width="17.3666666666667" customWidth="1" outlineLevel="1"/>
    <col min="8" max="8" width="17.7555555555556" customWidth="1" outlineLevel="1"/>
    <col min="9" max="9" width="11.7444444444444" customWidth="1"/>
    <col min="10" max="10" width="17.2444444444444" customWidth="1" outlineLevel="1"/>
    <col min="11" max="11" width="17.3666666666667" customWidth="1" outlineLevel="1"/>
    <col min="12" max="12" width="13.0333333333333" customWidth="1"/>
    <col min="13" max="14" width="9.16666666666667" customWidth="1" outlineLevel="1"/>
    <col min="15" max="15" width="12.4888888888889" customWidth="1" outlineLevel="1"/>
    <col min="16" max="16" width="9.16666666666667" customWidth="1" outlineLevel="2"/>
    <col min="17" max="18" width="9.16666666666667" customWidth="1" outlineLevel="3"/>
    <col min="19" max="22" width="9.16666666666667" customWidth="1" outlineLevel="2"/>
    <col min="23" max="23" width="11.3111111111111" customWidth="1"/>
    <col min="24" max="24" width="9.16666666666667" customWidth="1" outlineLevel="2"/>
    <col min="25" max="25" width="9.16666666666667" customWidth="1" outlineLevel="1"/>
    <col min="26" max="26" width="9.16666666666667" customWidth="1" outlineLevel="2"/>
    <col min="27" max="28" width="9.16666666666667" customWidth="1" outlineLevel="3"/>
    <col min="29" max="29" width="9.16666666666667" customWidth="1" outlineLevel="2"/>
    <col min="30" max="31" width="9.16666666666667" customWidth="1" outlineLevel="3"/>
    <col min="32" max="32" width="9.16666666666667" customWidth="1" outlineLevel="2"/>
    <col min="33" max="34" width="9.16666666666667" customWidth="1" outlineLevel="3"/>
    <col min="35" max="35" width="9.16666666666667" customWidth="1" outlineLevel="2"/>
    <col min="36" max="37" width="9.16666666666667" customWidth="1" outlineLevel="3"/>
    <col min="38" max="38" width="9.16666666666667" customWidth="1" outlineLevel="2"/>
    <col min="39" max="40" width="9.16666666666667" customWidth="1" outlineLevel="3"/>
    <col min="41" max="41" width="9.16666666666667" customWidth="1" outlineLevel="2"/>
    <col min="42" max="43" width="9.16666666666667" customWidth="1" outlineLevel="3"/>
    <col min="44" max="44" width="9.16666666666667" customWidth="1" outlineLevel="2"/>
    <col min="45" max="46" width="9.16666666666667" customWidth="1" outlineLevel="3"/>
    <col min="47" max="47" width="9.16666666666667" customWidth="1" outlineLevel="2"/>
    <col min="48" max="49" width="9.16666666666667" customWidth="1" outlineLevel="3"/>
    <col min="50" max="50" width="10.7888888888889" customWidth="1"/>
    <col min="51" max="52" width="9.16666666666667" customWidth="1" outlineLevel="1"/>
    <col min="53" max="53" width="9.16666666666667" customWidth="1" outlineLevel="2"/>
    <col min="54" max="55" width="9.16666666666667" customWidth="1" outlineLevel="3"/>
    <col min="56" max="56" width="9.16666666666667" customWidth="1" outlineLevel="2"/>
    <col min="57" max="58" width="9.16666666666667" customWidth="1" outlineLevel="3"/>
    <col min="59" max="59" width="9.16666666666667" customWidth="1" outlineLevel="2"/>
    <col min="60" max="61" width="9.16666666666667" customWidth="1" outlineLevel="3"/>
    <col min="62" max="62" width="9.16666666666667" customWidth="1" outlineLevel="2"/>
    <col min="63" max="64" width="9.16666666666667" customWidth="1" outlineLevel="3"/>
    <col min="65" max="65" width="11.5777777777778" customWidth="1"/>
    <col min="66" max="67" width="9.16666666666667" customWidth="1" outlineLevel="1"/>
  </cols>
  <sheetData>
    <row r="1" s="7" customFormat="1" ht="26.75" spans="1:67">
      <c r="A1" s="8" t="s">
        <v>0</v>
      </c>
      <c r="B1" s="9" t="s">
        <v>1</v>
      </c>
      <c r="C1" s="8" t="s">
        <v>2</v>
      </c>
      <c r="D1" s="10" t="s">
        <v>3</v>
      </c>
      <c r="E1" s="10" t="s">
        <v>3</v>
      </c>
      <c r="F1" s="10" t="s">
        <v>3</v>
      </c>
      <c r="G1" s="10" t="s">
        <v>3</v>
      </c>
      <c r="H1" s="10" t="s">
        <v>3</v>
      </c>
      <c r="I1" s="8" t="s">
        <v>4</v>
      </c>
      <c r="J1" s="10" t="s">
        <v>4</v>
      </c>
      <c r="K1" s="10" t="s">
        <v>4</v>
      </c>
      <c r="L1" s="10" t="s">
        <v>5</v>
      </c>
      <c r="M1" s="10" t="s">
        <v>5</v>
      </c>
      <c r="N1" s="10" t="s">
        <v>5</v>
      </c>
      <c r="O1" s="10" t="s">
        <v>6</v>
      </c>
      <c r="P1" s="10" t="s">
        <v>7</v>
      </c>
      <c r="Q1" s="10" t="s">
        <v>7</v>
      </c>
      <c r="R1" s="10" t="s">
        <v>7</v>
      </c>
      <c r="S1" s="10" t="s">
        <v>7</v>
      </c>
      <c r="T1" s="10" t="s">
        <v>7</v>
      </c>
      <c r="U1" s="10" t="s">
        <v>7</v>
      </c>
      <c r="V1" s="10" t="s">
        <v>7</v>
      </c>
      <c r="W1" s="10" t="s">
        <v>8</v>
      </c>
      <c r="X1" s="10" t="s">
        <v>8</v>
      </c>
      <c r="Y1" s="10" t="s">
        <v>8</v>
      </c>
      <c r="Z1" s="10" t="s">
        <v>8</v>
      </c>
      <c r="AA1" s="10" t="s">
        <v>8</v>
      </c>
      <c r="AB1" s="10" t="s">
        <v>8</v>
      </c>
      <c r="AC1" s="10" t="s">
        <v>9</v>
      </c>
      <c r="AD1" s="10" t="s">
        <v>9</v>
      </c>
      <c r="AE1" s="10" t="s">
        <v>9</v>
      </c>
      <c r="AF1" s="10" t="s">
        <v>8</v>
      </c>
      <c r="AG1" s="10" t="s">
        <v>8</v>
      </c>
      <c r="AH1" s="10" t="s">
        <v>8</v>
      </c>
      <c r="AI1" s="10" t="s">
        <v>9</v>
      </c>
      <c r="AJ1" s="10" t="s">
        <v>9</v>
      </c>
      <c r="AK1" s="10" t="s">
        <v>9</v>
      </c>
      <c r="AL1" s="10" t="s">
        <v>8</v>
      </c>
      <c r="AM1" s="10" t="s">
        <v>8</v>
      </c>
      <c r="AN1" s="10" t="s">
        <v>8</v>
      </c>
      <c r="AO1" s="10" t="s">
        <v>9</v>
      </c>
      <c r="AP1" s="10" t="s">
        <v>9</v>
      </c>
      <c r="AQ1" s="10" t="s">
        <v>9</v>
      </c>
      <c r="AR1" s="10" t="s">
        <v>8</v>
      </c>
      <c r="AS1" s="10" t="s">
        <v>8</v>
      </c>
      <c r="AT1" s="10" t="s">
        <v>8</v>
      </c>
      <c r="AU1" s="10" t="s">
        <v>9</v>
      </c>
      <c r="AV1" s="10" t="s">
        <v>9</v>
      </c>
      <c r="AW1" s="10" t="s">
        <v>9</v>
      </c>
      <c r="AX1" s="10" t="s">
        <v>8</v>
      </c>
      <c r="AY1" s="10" t="s">
        <v>8</v>
      </c>
      <c r="AZ1" s="10" t="s">
        <v>8</v>
      </c>
      <c r="BA1" s="10" t="s">
        <v>8</v>
      </c>
      <c r="BB1" s="10" t="s">
        <v>8</v>
      </c>
      <c r="BC1" s="10" t="s">
        <v>8</v>
      </c>
      <c r="BD1" s="10" t="s">
        <v>9</v>
      </c>
      <c r="BE1" s="10" t="s">
        <v>9</v>
      </c>
      <c r="BF1" s="10" t="s">
        <v>9</v>
      </c>
      <c r="BG1" s="10" t="s">
        <v>8</v>
      </c>
      <c r="BH1" s="10" t="s">
        <v>8</v>
      </c>
      <c r="BI1" s="10" t="s">
        <v>8</v>
      </c>
      <c r="BJ1" s="10" t="s">
        <v>9</v>
      </c>
      <c r="BK1" s="10" t="s">
        <v>9</v>
      </c>
      <c r="BL1" s="10" t="s">
        <v>9</v>
      </c>
      <c r="BM1" s="10" t="s">
        <v>8</v>
      </c>
      <c r="BN1" s="10" t="s">
        <v>8</v>
      </c>
      <c r="BO1" s="10" t="s">
        <v>8</v>
      </c>
    </row>
    <row r="2" ht="41.25" spans="1:67">
      <c r="A2" s="11" t="str">
        <f>"2026年"&amp;B1&amp;"月"</f>
        <v>2026年X月</v>
      </c>
      <c r="B2" s="12"/>
      <c r="C2" s="13" t="s">
        <v>10</v>
      </c>
      <c r="D2" s="14" t="s">
        <v>11</v>
      </c>
      <c r="E2" s="14" t="s">
        <v>12</v>
      </c>
      <c r="F2" s="14" t="s">
        <v>13</v>
      </c>
      <c r="G2" s="14" t="s">
        <v>14</v>
      </c>
      <c r="H2" s="14" t="s">
        <v>15</v>
      </c>
      <c r="I2" s="13" t="s">
        <v>16</v>
      </c>
      <c r="J2" s="14" t="s">
        <v>17</v>
      </c>
      <c r="K2" s="14" t="s">
        <v>18</v>
      </c>
      <c r="L2" s="15" t="s">
        <v>19</v>
      </c>
      <c r="M2" s="14" t="s">
        <v>17</v>
      </c>
      <c r="N2" s="14" t="s">
        <v>18</v>
      </c>
      <c r="O2" s="14" t="s">
        <v>20</v>
      </c>
      <c r="P2" s="16" t="s">
        <v>21</v>
      </c>
      <c r="Q2" s="16" t="s">
        <v>22</v>
      </c>
      <c r="R2" s="16" t="s">
        <v>23</v>
      </c>
      <c r="S2" s="16" t="s">
        <v>24</v>
      </c>
      <c r="T2" s="16" t="s">
        <v>25</v>
      </c>
      <c r="U2" s="16" t="s">
        <v>26</v>
      </c>
      <c r="V2" s="16" t="s">
        <v>27</v>
      </c>
      <c r="W2" s="15" t="s">
        <v>28</v>
      </c>
      <c r="X2" s="14" t="s">
        <v>17</v>
      </c>
      <c r="Y2" s="14" t="s">
        <v>18</v>
      </c>
      <c r="Z2" s="16" t="s">
        <v>29</v>
      </c>
      <c r="AA2" s="17" t="s">
        <v>17</v>
      </c>
      <c r="AB2" s="17" t="s">
        <v>18</v>
      </c>
      <c r="AC2" s="16" t="s">
        <v>30</v>
      </c>
      <c r="AD2" s="17" t="s">
        <v>17</v>
      </c>
      <c r="AE2" s="17" t="s">
        <v>18</v>
      </c>
      <c r="AF2" s="16" t="s">
        <v>31</v>
      </c>
      <c r="AG2" s="17" t="s">
        <v>17</v>
      </c>
      <c r="AH2" s="17" t="s">
        <v>18</v>
      </c>
      <c r="AI2" s="16" t="s">
        <v>32</v>
      </c>
      <c r="AJ2" s="17" t="s">
        <v>17</v>
      </c>
      <c r="AK2" s="17" t="s">
        <v>18</v>
      </c>
      <c r="AL2" s="16" t="s">
        <v>33</v>
      </c>
      <c r="AM2" s="17" t="s">
        <v>17</v>
      </c>
      <c r="AN2" s="17" t="s">
        <v>18</v>
      </c>
      <c r="AO2" s="16" t="s">
        <v>34</v>
      </c>
      <c r="AP2" s="17" t="s">
        <v>17</v>
      </c>
      <c r="AQ2" s="17" t="s">
        <v>18</v>
      </c>
      <c r="AR2" s="16" t="s">
        <v>35</v>
      </c>
      <c r="AS2" s="17" t="s">
        <v>17</v>
      </c>
      <c r="AT2" s="17" t="s">
        <v>18</v>
      </c>
      <c r="AU2" s="16" t="s">
        <v>36</v>
      </c>
      <c r="AV2" s="17" t="s">
        <v>17</v>
      </c>
      <c r="AW2" s="17" t="s">
        <v>18</v>
      </c>
      <c r="AX2" s="15" t="s">
        <v>37</v>
      </c>
      <c r="AY2" s="14" t="s">
        <v>17</v>
      </c>
      <c r="AZ2" s="14" t="s">
        <v>18</v>
      </c>
      <c r="BA2" s="16" t="s">
        <v>38</v>
      </c>
      <c r="BB2" s="17" t="s">
        <v>17</v>
      </c>
      <c r="BC2" s="17" t="s">
        <v>18</v>
      </c>
      <c r="BD2" s="16" t="s">
        <v>39</v>
      </c>
      <c r="BE2" s="17" t="s">
        <v>17</v>
      </c>
      <c r="BF2" s="17" t="s">
        <v>18</v>
      </c>
      <c r="BG2" s="16" t="s">
        <v>40</v>
      </c>
      <c r="BH2" s="17" t="s">
        <v>17</v>
      </c>
      <c r="BI2" s="17" t="s">
        <v>18</v>
      </c>
      <c r="BJ2" s="16" t="s">
        <v>41</v>
      </c>
      <c r="BK2" s="17" t="s">
        <v>17</v>
      </c>
      <c r="BL2" s="17" t="s">
        <v>18</v>
      </c>
      <c r="BM2" s="15" t="s">
        <v>42</v>
      </c>
      <c r="BN2" s="14" t="s">
        <v>17</v>
      </c>
      <c r="BO2" s="14" t="s">
        <v>18</v>
      </c>
    </row>
    <row r="3" ht="14.25" spans="1:67">
      <c r="A3" s="18"/>
      <c r="B3" s="19" t="s">
        <v>43</v>
      </c>
      <c r="C3" s="20">
        <f>ROUND(VLOOKUP(B3,拍照客户_客户级!$A$2:$BX$27,28,FALSE)/10000,3)</f>
        <v>1296.436</v>
      </c>
      <c r="D3" s="20">
        <f>ROUND(VLOOKUP(B3,拍照客户_客户级!$A$2:$BX$27,29,FALSE)/10000,3)</f>
        <v>82784.449</v>
      </c>
      <c r="E3" s="20">
        <f>ROUND(VLOOKUP(B3,拍照客户_客户级!$A$2:$BX$27,30,FALSE)/10000,3)</f>
        <v>-78769.286</v>
      </c>
      <c r="F3" s="20">
        <f>ROUND(VLOOKUP(B3,拍照客户_客户级!$A$2:$BX$27,33,FALSE)/10000,3)</f>
        <v>-7238.194</v>
      </c>
      <c r="G3" s="20">
        <f>ROUND(VLOOKUP(B3,拍照客户_客户级!$A$2:$BX$27,31,FALSE)/10000,3)</f>
        <v>4629.164</v>
      </c>
      <c r="H3" s="20">
        <f>ROUND(VLOOKUP(B3,拍照客户_客户级!$A$2:$BX$27,32,FALSE)/10000,3)</f>
        <v>-109.697</v>
      </c>
      <c r="I3" s="21">
        <f>VLOOKUP(B3,拍照客户_客户级!$A$2:$BX$27,13,FALSE)</f>
        <v>92.8617740649818</v>
      </c>
      <c r="J3" s="21">
        <f>VLOOKUP(B3,拍照客户_客户级!$A$2:$BX$27,15,FALSE)</f>
        <v>-1.05607884168225</v>
      </c>
      <c r="K3" s="21">
        <f>VLOOKUP(B3,拍照客户_客户级!$A$2:$BX$27,14,FALSE)</f>
        <v>0.632967972604659</v>
      </c>
      <c r="L3" s="21">
        <f>VLOOKUP(B3,拍照客户_客户级!$A$2:$BX$27,34,FALSE)</f>
        <v>100.151623575593</v>
      </c>
      <c r="M3" s="21">
        <f>VLOOKUP(B3,拍照客户_客户级!$A$2:$BX$27,36,FALSE)</f>
        <v>-0.67135428941214</v>
      </c>
      <c r="N3" s="21">
        <f>VLOOKUP(B3,拍照客户_客户级!$A$2:$BX$27,35,FALSE)</f>
        <v>-0.559474529382054</v>
      </c>
      <c r="O3" s="21">
        <f>VLOOKUP(B3,拍照客户_客户级!$A$2:$BX$27,49,FALSE)</f>
        <v>-1.3037644570534</v>
      </c>
      <c r="P3" s="21">
        <f>VLOOKUP(B3,拍照客户_客户级!$A$2:$BX$27,50,FALSE)</f>
        <v>-0.254896426111113</v>
      </c>
      <c r="Q3" s="21">
        <f>VLOOKUP(B3,拍照客户_客户级!$A$2:$BX$27,51,FALSE)</f>
        <v>9.38393829113895</v>
      </c>
      <c r="R3" s="21">
        <f>VLOOKUP(B3,拍照客户_客户级!$A$2:$BX$27,52,FALSE)</f>
        <v>-9.68609317295155</v>
      </c>
      <c r="S3" s="21">
        <f>VLOOKUP(B3,拍照客户_客户级!$A$2:$BX$27,55,FALSE)</f>
        <v>-1.04886803094229</v>
      </c>
      <c r="T3" s="21">
        <f>VLOOKUP(B3,拍照客户_业务级!$A$9:$KF$30,282,FALSE)</f>
        <v>-0.743092741224828</v>
      </c>
      <c r="U3" s="21">
        <f>VLOOKUP(B3,拍照客户_业务级!$A$9:$KF$30,284,FALSE)</f>
        <v>-0.045142860904979</v>
      </c>
      <c r="V3" s="21">
        <f>VLOOKUP(B3,拍照客户_业务级!$A$9:$KF$30,285,FALSE)</f>
        <v>-2.03025367877465</v>
      </c>
      <c r="W3" s="21">
        <f>VLOOKUP(B3,拍照客户_业务级!$A$9:$KF$30,251,FALSE)</f>
        <v>100.386430885811</v>
      </c>
      <c r="X3" s="21">
        <f>VLOOKUP(B3,拍照客户_业务级!$A$9:$KF$30,253,FALSE)</f>
        <v>-0.44767892212354</v>
      </c>
      <c r="Y3" s="21">
        <f>VLOOKUP(B3,拍照客户_业务级!$A$9:$KF$30,252,FALSE)</f>
        <v>0.294287502998158</v>
      </c>
      <c r="Z3" s="21">
        <f>VLOOKUP(B3,拍照客户_业务级!$A$9:$KF$30,204,FALSE)</f>
        <v>102.845506837871</v>
      </c>
      <c r="AA3" s="21">
        <f>VLOOKUP(B3,拍照客户_业务级!$A$9:$KF$30,206,FALSE)</f>
        <v>-0.213639641475871</v>
      </c>
      <c r="AB3" s="21">
        <f>VLOOKUP(B3,拍照客户_业务级!$A$9:$KF$30,205,FALSE)</f>
        <v>0.310790687936757</v>
      </c>
      <c r="AC3" s="21">
        <f>VLOOKUP(B3,拍照客户_业务级!$A$9:$KF$30,78,FALSE)</f>
        <v>94.8050454693633</v>
      </c>
      <c r="AD3" s="21">
        <f>VLOOKUP(B3,拍照客户_业务级!$A$9:$KF$30,80,FALSE)</f>
        <v>-0.779296840937627</v>
      </c>
      <c r="AE3" s="21">
        <f>VLOOKUP(B3,拍照客户_业务级!$A$9:$KF$30,79,FALSE)</f>
        <v>-0.665486644246638</v>
      </c>
      <c r="AF3" s="21">
        <f>VLOOKUP(B3,拍照客户_业务级!$A$9:$KF$30,213,FALSE)</f>
        <v>101.615746905013</v>
      </c>
      <c r="AG3" s="21">
        <f>VLOOKUP(B3,拍照客户_业务级!$A$9:$KF$30,215,FALSE)</f>
        <v>-0.809647375229794</v>
      </c>
      <c r="AH3" s="21">
        <f>VLOOKUP(B3,拍照客户_业务级!$A$9:$KF$30,214,FALSE)</f>
        <v>1.62201524722688</v>
      </c>
      <c r="AI3" s="21">
        <f>VLOOKUP(B3,拍照客户_业务级!$A$9:$KF$30,94,FALSE)</f>
        <v>96.4593979363352</v>
      </c>
      <c r="AJ3" s="21">
        <f>VLOOKUP(B3,拍照客户_业务级!$A$9:$KF$30,96,FALSE)</f>
        <v>0.980936724498116</v>
      </c>
      <c r="AK3" s="21">
        <f>VLOOKUP(B3,拍照客户_业务级!$A$9:$KF$30,95,FALSE)</f>
        <v>2.19022502952956</v>
      </c>
      <c r="AL3" s="21">
        <f>VLOOKUP(B3,拍照客户_业务级!$A$9:$KF$30,221,FALSE)</f>
        <v>97.0900797153342</v>
      </c>
      <c r="AM3" s="21">
        <f>VLOOKUP(B3,拍照客户_业务级!$A$9:$KF$30,223,FALSE)</f>
        <v>-1.01849415380755</v>
      </c>
      <c r="AN3" s="21">
        <f>VLOOKUP(B3,拍照客户_业务级!$A$9:$KF$30,222,FALSE)</f>
        <v>-1.17962624485022</v>
      </c>
      <c r="AO3" s="21">
        <f>VLOOKUP(B3,拍照客户_业务级!$A$9:$KF$30,108,FALSE)</f>
        <v>89.7522008062694</v>
      </c>
      <c r="AP3" s="21">
        <f>VLOOKUP(B3,拍照客户_业务级!$A$9:$KF$30,110,FALSE)</f>
        <v>-2.28654942728657</v>
      </c>
      <c r="AQ3" s="21">
        <f>VLOOKUP(B3,拍照客户_业务级!$A$9:$KF$30,109,FALSE)</f>
        <v>-5.65121566098032</v>
      </c>
      <c r="AR3" s="21">
        <f>VLOOKUP(B3,拍照客户_业务级!$A$9:$KF$30,227,FALSE)</f>
        <v>93.3289544727922</v>
      </c>
      <c r="AS3" s="21">
        <f>VLOOKUP(B3,拍照客户_业务级!$A$9:$KF$30,229,FALSE)</f>
        <v>-0.720929425066408</v>
      </c>
      <c r="AT3" s="21">
        <f>VLOOKUP(B3,拍照客户_业务级!$A$9:$KF$30,228,FALSE)</f>
        <v>-1.07006398306168</v>
      </c>
      <c r="AU3" s="21">
        <f>VLOOKUP(B3,拍照客户_业务级!$A$9:$KF$30,118,FALSE)</f>
        <v>95.5998143639951</v>
      </c>
      <c r="AV3" s="21">
        <f>VLOOKUP(B3,拍照客户_业务级!$A$9:$KF$30,120,FALSE)</f>
        <v>-0.469243199838487</v>
      </c>
      <c r="AW3" s="21">
        <f>VLOOKUP(B3,拍照客户_业务级!$A$9:$KF$30,119,FALSE)</f>
        <v>0.36737008804002</v>
      </c>
      <c r="AX3" s="21">
        <f>VLOOKUP(B3,拍照客户_业务级!$A$9:$KF$30,254,FALSE)</f>
        <v>100.162576397624</v>
      </c>
      <c r="AY3" s="21">
        <f>VLOOKUP(B3,拍照客户_业务级!$A$9:$KF$30,256,FALSE)</f>
        <v>-0.588024095428019</v>
      </c>
      <c r="AZ3" s="21">
        <f>VLOOKUP(B3,拍照客户_业务级!$A$9:$KF$30,255,FALSE)</f>
        <v>-0.355217449571321</v>
      </c>
      <c r="BA3" s="21">
        <f>VLOOKUP(B3,拍照客户_业务级!$A$9:$KF$30,233,FALSE)</f>
        <v>100.239110749872</v>
      </c>
      <c r="BB3" s="21">
        <f>VLOOKUP(B3,拍照客户_业务级!$A$9:$KF$30,235,FALSE)</f>
        <v>-0.498113571838932</v>
      </c>
      <c r="BC3" s="21">
        <f>VLOOKUP(B3,拍照客户_业务级!$A$9:$KF$30,234,FALSE)</f>
        <v>-0.333526073792378</v>
      </c>
      <c r="BD3" s="21">
        <f>VLOOKUP(B3,拍照客户_业务级!$A$9:$KF$30,123,FALSE)</f>
        <v>99.7168115699716</v>
      </c>
      <c r="BE3" s="21">
        <f>VLOOKUP(B3,拍照客户_业务级!$A$9:$KF$30,125,FALSE)</f>
        <v>-0.249749205818428</v>
      </c>
      <c r="BF3" s="21">
        <f>VLOOKUP(B3,拍照客户_业务级!$A$9:$KF$30,124,FALSE)</f>
        <v>1.34118970526026</v>
      </c>
      <c r="BG3" s="21">
        <f>VLOOKUP(B3,拍照客户_业务级!$A$9:$KF$30,239,FALSE)</f>
        <v>100.090621728293</v>
      </c>
      <c r="BH3" s="21">
        <f>VLOOKUP(B3,拍照客户_业务级!$A$9:$KF$30,241,FALSE)</f>
        <v>-0.672554529204228</v>
      </c>
      <c r="BI3" s="21">
        <f>VLOOKUP(B3,拍照客户_业务级!$A$9:$KF$30,240,FALSE)</f>
        <v>-0.374393012053065</v>
      </c>
      <c r="BJ3" s="21">
        <f>VLOOKUP(B3,拍照客户_业务级!$A$9:$KF$30,128,FALSE)</f>
        <v>94.7253490621458</v>
      </c>
      <c r="BK3" s="21">
        <f>VLOOKUP(B3,拍照客户_业务级!$A$9:$KF$30,130,FALSE)</f>
        <v>-0.680619262652571</v>
      </c>
      <c r="BL3" s="21">
        <f>VLOOKUP(B3,拍照客户_业务级!$A$9:$KF$30,129,FALSE)</f>
        <v>-5.75430308386098</v>
      </c>
      <c r="BM3" s="21">
        <f>VLOOKUP(B3,拍照客户_业务级!$A$9:$KF$30,245,FALSE)</f>
        <v>99.1910096632393</v>
      </c>
      <c r="BN3" s="21">
        <f>VLOOKUP(B3,拍照客户_业务级!$A$9:$KF$30,247,FALSE)</f>
        <v>-1.83737807682767</v>
      </c>
      <c r="BO3" s="21">
        <f>VLOOKUP(B3,拍照客户_业务级!$A$9:$KF$30,246,FALSE)</f>
        <v>-5.22694827443102</v>
      </c>
    </row>
    <row r="4" ht="13.5" spans="1:67">
      <c r="A4" s="22" t="s">
        <v>44</v>
      </c>
      <c r="B4" s="23" t="s">
        <v>45</v>
      </c>
      <c r="C4" s="24">
        <f>ROUND(VLOOKUP(B4,拍照客户_客户级!$A$2:$BX$27,28,FALSE)/10000,3)</f>
        <v>931.008</v>
      </c>
      <c r="D4" s="25">
        <f>ROUND(VLOOKUP(B4,拍照客户_客户级!$A$2:$BX$27,29,FALSE)/10000,3)</f>
        <v>18434.393</v>
      </c>
      <c r="E4" s="25">
        <f>ROUND(VLOOKUP(B4,拍照客户_客户级!$A$2:$BX$27,30,FALSE)/10000,3)</f>
        <v>-16563.335</v>
      </c>
      <c r="F4" s="25">
        <f>ROUND(VLOOKUP(B4,拍照客户_客户级!$A$2:$BX$27,33,FALSE)/10000,3)</f>
        <v>-1241.586</v>
      </c>
      <c r="G4" s="25">
        <f>ROUND(VLOOKUP(B4,拍照客户_客户级!$A$2:$BX$27,31,FALSE)/10000,3)</f>
        <v>403.802</v>
      </c>
      <c r="H4" s="25">
        <f>ROUND(VLOOKUP(B4,拍照客户_客户级!$A$2:$BX$27,32,FALSE)/10000,3)</f>
        <v>-102.265</v>
      </c>
      <c r="I4" s="26">
        <f>VLOOKUP(B4,拍照客户_客户级!$A$2:$BX$27,13,FALSE)</f>
        <v>94.5065510192611</v>
      </c>
      <c r="J4" s="26">
        <f>VLOOKUP(B4,拍照客户_客户级!$A$2:$BX$27,15,FALSE)</f>
        <v>-0.697848473105178</v>
      </c>
      <c r="K4" s="26">
        <f>VLOOKUP(B4,拍照客户_客户级!$A$2:$BX$27,14,FALSE)</f>
        <v>-0.0430893712230929</v>
      </c>
      <c r="L4" s="26">
        <f>VLOOKUP(B4,拍照客户_客户级!$A$2:$BX$27,34,FALSE)</f>
        <v>100.371933786756</v>
      </c>
      <c r="M4" s="26">
        <f>VLOOKUP(B4,拍照客户_客户级!$A$2:$BX$27,36,FALSE)</f>
        <v>-0.316040725700795</v>
      </c>
      <c r="N4" s="26">
        <f>VLOOKUP(B4,拍照客户_客户级!$A$2:$BX$27,35,FALSE)</f>
        <v>0.0821309946785753</v>
      </c>
      <c r="O4" s="27">
        <f>VLOOKUP(B4,拍照客户_客户级!$A$2:$BX$27,49,FALSE)</f>
        <v>-0.644093389208333</v>
      </c>
      <c r="P4" s="27">
        <f>VLOOKUP(B4,拍照客户_客户级!$A$2:$BX$27,50,FALSE)</f>
        <v>0.0137475053648091</v>
      </c>
      <c r="Q4" s="27">
        <f>VLOOKUP(B4,拍照客户_客户级!$A$2:$BX$27,51,FALSE)</f>
        <v>7.17668164239311</v>
      </c>
      <c r="R4" s="27">
        <f>VLOOKUP(B4,拍照客户_客户级!$A$2:$BX$27,52,FALSE)</f>
        <v>-7.1801231428467</v>
      </c>
      <c r="S4" s="27">
        <f>VLOOKUP(B4,拍照客户_客户级!$A$2:$BX$27,55,FALSE)</f>
        <v>-0.657840894573161</v>
      </c>
      <c r="T4" s="26">
        <f>VLOOKUP(B4,拍照客户_业务级!$A$9:$KF$30,282,FALSE)</f>
        <v>-0.465943439772338</v>
      </c>
      <c r="U4" s="26">
        <f>VLOOKUP(B4,拍照客户_业务级!$A$9:$KF$30,284,FALSE)</f>
        <v>1.25171613761236</v>
      </c>
      <c r="V4" s="26">
        <f>VLOOKUP(B4,拍照客户_业务级!$A$9:$KF$30,285,FALSE)</f>
        <v>-2.973527803976</v>
      </c>
      <c r="W4" s="26">
        <f>VLOOKUP(B4,拍照客户_业务级!$A$9:$KF$30,251,FALSE)</f>
        <v>99.4775754749497</v>
      </c>
      <c r="X4" s="27">
        <f>VLOOKUP(B4,拍照客户_业务级!$A$9:$KF$30,253,FALSE)</f>
        <v>-0.282961278618188</v>
      </c>
      <c r="Y4" s="27">
        <f>VLOOKUP(B4,拍照客户_业务级!$A$9:$KF$30,252,FALSE)</f>
        <v>0.241373629255274</v>
      </c>
      <c r="Z4" s="26">
        <f>VLOOKUP(B4,拍照客户_业务级!$A$9:$KF$30,204,FALSE)</f>
        <v>101.730221536255</v>
      </c>
      <c r="AA4" s="27">
        <f>VLOOKUP(B4,拍照客户_业务级!$A$9:$KF$30,206,FALSE)</f>
        <v>-0.115433637899025</v>
      </c>
      <c r="AB4" s="27">
        <f>VLOOKUP(B4,拍照客户_业务级!$A$9:$KF$30,205,FALSE)</f>
        <v>0.860206605650943</v>
      </c>
      <c r="AC4" s="27">
        <f>VLOOKUP(B4,拍照客户_业务级!$A$9:$KF$30,78,FALSE)</f>
        <v>96.1816340816506</v>
      </c>
      <c r="AD4" s="27">
        <f>VLOOKUP(B4,拍照客户_业务级!$A$9:$KF$30,80,FALSE)</f>
        <v>-0.62101696076311</v>
      </c>
      <c r="AE4" s="27">
        <f>VLOOKUP(B4,拍照客户_业务级!$A$9:$KF$30,79,FALSE)</f>
        <v>-0.127680317526979</v>
      </c>
      <c r="AF4" s="26">
        <f>VLOOKUP(B4,拍照客户_业务级!$A$9:$KF$30,213,FALSE)</f>
        <v>100.245909997664</v>
      </c>
      <c r="AG4" s="27">
        <f>VLOOKUP(B4,拍照客户_业务级!$A$9:$KF$30,215,FALSE)</f>
        <v>-0.664605578210929</v>
      </c>
      <c r="AH4" s="27">
        <f>VLOOKUP(B4,拍照客户_业务级!$A$9:$KF$30,214,FALSE)</f>
        <v>1.47294239220453</v>
      </c>
      <c r="AI4" s="27">
        <f>VLOOKUP(B4,拍照客户_业务级!$A$9:$KF$30,94,FALSE)</f>
        <v>95.0103797408197</v>
      </c>
      <c r="AJ4" s="27">
        <f>VLOOKUP(B4,拍照客户_业务级!$A$9:$KF$30,96,FALSE)</f>
        <v>-0.859541908878625</v>
      </c>
      <c r="AK4" s="27">
        <f>VLOOKUP(B4,拍照客户_业务级!$A$9:$KF$30,95,FALSE)</f>
        <v>4.05234049129282</v>
      </c>
      <c r="AL4" s="26">
        <f>VLOOKUP(B4,拍照客户_业务级!$A$9:$KF$30,221,FALSE)</f>
        <v>95.8499671350264</v>
      </c>
      <c r="AM4" s="27">
        <f>VLOOKUP(B4,拍照客户_业务级!$A$9:$KF$30,223,FALSE)</f>
        <v>-0.600427935945047</v>
      </c>
      <c r="AN4" s="27">
        <f>VLOOKUP(B4,拍照客户_业务级!$A$9:$KF$30,222,FALSE)</f>
        <v>-3.82399876293383</v>
      </c>
      <c r="AO4" s="27">
        <f>VLOOKUP(B4,拍照客户_业务级!$A$9:$KF$30,108,FALSE)</f>
        <v>85.4929807518719</v>
      </c>
      <c r="AP4" s="27">
        <f>VLOOKUP(B4,拍照客户_业务级!$A$9:$KF$30,110,FALSE)</f>
        <v>-3.59516174789165</v>
      </c>
      <c r="AQ4" s="27">
        <f>VLOOKUP(B4,拍照客户_业务级!$A$9:$KF$30,109,FALSE)</f>
        <v>-7.47891602429775</v>
      </c>
      <c r="AR4" s="26">
        <f>VLOOKUP(B4,拍照客户_业务级!$A$9:$KF$30,227,FALSE)</f>
        <v>93.5040687707463</v>
      </c>
      <c r="AS4" s="27">
        <f>VLOOKUP(B4,拍照客户_业务级!$A$9:$KF$30,229,FALSE)</f>
        <v>-0.407588905202105</v>
      </c>
      <c r="AT4" s="27">
        <f>VLOOKUP(B4,拍照客户_业务级!$A$9:$KF$30,228,FALSE)</f>
        <v>-2.20443263007619</v>
      </c>
      <c r="AU4" s="27">
        <f>VLOOKUP(B4,拍照客户_业务级!$A$9:$KF$30,118,FALSE)</f>
        <v>93.9615914092805</v>
      </c>
      <c r="AV4" s="27">
        <f>VLOOKUP(B4,拍照客户_业务级!$A$9:$KF$30,120,FALSE)</f>
        <v>-0.735801333639918</v>
      </c>
      <c r="AW4" s="27">
        <f>VLOOKUP(B4,拍照客户_业务级!$A$9:$KF$30,119,FALSE)</f>
        <v>0.0450441289024606</v>
      </c>
      <c r="AX4" s="26">
        <f>VLOOKUP(B4,拍照客户_业务级!$A$9:$KF$30,254,FALSE)</f>
        <v>102.801921483895</v>
      </c>
      <c r="AY4" s="27">
        <f>VLOOKUP(B4,拍照客户_业务级!$A$9:$KF$30,256,FALSE)</f>
        <v>0.0207404714411163</v>
      </c>
      <c r="AZ4" s="27">
        <f>VLOOKUP(B4,拍照客户_业务级!$A$9:$KF$30,255,FALSE)</f>
        <v>2.60972769498737</v>
      </c>
      <c r="BA4" s="26">
        <f>VLOOKUP(B4,拍照客户_业务级!$A$9:$KF$30,233,FALSE)</f>
        <v>100.706143609357</v>
      </c>
      <c r="BB4" s="27">
        <f>VLOOKUP(B4,拍照客户_业务级!$A$9:$KF$30,235,FALSE)</f>
        <v>-0.341940656182308</v>
      </c>
      <c r="BC4" s="27">
        <f>VLOOKUP(B4,拍照客户_业务级!$A$9:$KF$30,234,FALSE)</f>
        <v>-0.226050113409878</v>
      </c>
      <c r="BD4" s="27">
        <f>VLOOKUP(B4,拍照客户_业务级!$A$9:$KF$30,123,FALSE)</f>
        <v>98.6675678285218</v>
      </c>
      <c r="BE4" s="27">
        <f>VLOOKUP(B4,拍照客户_业务级!$A$9:$KF$30,125,FALSE)</f>
        <v>-0.970358211837408</v>
      </c>
      <c r="BF4" s="27">
        <f>VLOOKUP(B4,拍照客户_业务级!$A$9:$KF$30,124,FALSE)</f>
        <v>0.443749981670249</v>
      </c>
      <c r="BG4" s="26">
        <f>VLOOKUP(B4,拍照客户_业务级!$A$9:$KF$30,239,FALSE)</f>
        <v>104.582971784816</v>
      </c>
      <c r="BH4" s="27">
        <f>VLOOKUP(B4,拍照客户_业务级!$A$9:$KF$30,241,FALSE)</f>
        <v>0.328956976319783</v>
      </c>
      <c r="BI4" s="27">
        <f>VLOOKUP(B4,拍照客户_业务级!$A$9:$KF$30,240,FALSE)</f>
        <v>4.99459744850768</v>
      </c>
      <c r="BJ4" s="27">
        <f>VLOOKUP(B4,拍照客户_业务级!$A$9:$KF$30,128,FALSE)</f>
        <v>96.9827070726399</v>
      </c>
      <c r="BK4" s="27">
        <f>VLOOKUP(B4,拍照客户_业务级!$A$9:$KF$30,130,FALSE)</f>
        <v>2.97304408141787</v>
      </c>
      <c r="BL4" s="27">
        <f>VLOOKUP(B4,拍照客户_业务级!$A$9:$KF$30,129,FALSE)</f>
        <v>-2.59092903402178</v>
      </c>
      <c r="BM4" s="26">
        <f>VLOOKUP(B4,拍照客户_业务级!$A$9:$KF$30,245,FALSE)</f>
        <v>93.2550745785575</v>
      </c>
      <c r="BN4" s="26">
        <f>VLOOKUP(B4,拍照客户_业务级!$A$9:$KF$30,247,FALSE)</f>
        <v>-1.7586457603358</v>
      </c>
      <c r="BO4" s="26">
        <f>VLOOKUP(B4,拍照客户_业务级!$A$9:$KF$30,246,FALSE)</f>
        <v>-11.2672640918809</v>
      </c>
    </row>
    <row r="5" ht="13.5" spans="1:67">
      <c r="A5" s="28"/>
      <c r="B5" s="29" t="s">
        <v>46</v>
      </c>
      <c r="C5" s="30">
        <f>ROUND(VLOOKUP(B5,拍照客户_客户级!$A$2:$BX$27,28,FALSE)/10000,3)</f>
        <v>1297.745</v>
      </c>
      <c r="D5" s="31">
        <f>ROUND(VLOOKUP(B5,拍照客户_客户级!$A$2:$BX$27,29,FALSE)/10000,3)</f>
        <v>24344.562</v>
      </c>
      <c r="E5" s="31">
        <f>ROUND(VLOOKUP(B5,拍照客户_客户级!$A$2:$BX$27,30,FALSE)/10000,3)</f>
        <v>-23016.358</v>
      </c>
      <c r="F5" s="31">
        <f>ROUND(VLOOKUP(B5,拍照客户_客户级!$A$2:$BX$27,33,FALSE)/10000,3)</f>
        <v>-2099.214</v>
      </c>
      <c r="G5" s="31">
        <f>ROUND(VLOOKUP(B5,拍照客户_客户级!$A$2:$BX$27,31,FALSE)/10000,3)</f>
        <v>1798.067</v>
      </c>
      <c r="H5" s="31">
        <f>ROUND(VLOOKUP(B5,拍照客户_客户级!$A$2:$BX$27,32,FALSE)/10000,3)</f>
        <v>270.689</v>
      </c>
      <c r="I5" s="32">
        <f>VLOOKUP(B5,拍照客户_客户级!$A$2:$BX$27,13,FALSE)</f>
        <v>92.3254347278647</v>
      </c>
      <c r="J5" s="32">
        <f>VLOOKUP(B5,拍照客户_客户级!$A$2:$BX$27,15,FALSE)</f>
        <v>-1.40251688658412</v>
      </c>
      <c r="K5" s="32">
        <f>VLOOKUP(B5,拍照客户_客户级!$A$2:$BX$27,14,FALSE)</f>
        <v>1.48408194446673</v>
      </c>
      <c r="L5" s="32">
        <f>VLOOKUP(B5,拍照客户_客户级!$A$2:$BX$27,34,FALSE)</f>
        <v>100.620679811671</v>
      </c>
      <c r="M5" s="32">
        <f>VLOOKUP(B5,拍照客户_客户级!$A$2:$BX$27,36,FALSE)</f>
        <v>-1.20857821687099</v>
      </c>
      <c r="N5" s="32">
        <f>VLOOKUP(B5,拍照客户_客户级!$A$2:$BX$27,35,FALSE)</f>
        <v>-1.35830693451349</v>
      </c>
      <c r="O5" s="33">
        <f>VLOOKUP(B5,拍照客户_客户级!$A$2:$BX$27,49,FALSE)</f>
        <v>-1.48826171712527</v>
      </c>
      <c r="P5" s="33">
        <f>VLOOKUP(B5,拍照客户_客户级!$A$2:$BX$27,50,FALSE)</f>
        <v>-0.179550654026418</v>
      </c>
      <c r="Q5" s="33">
        <f>VLOOKUP(B5,拍照客户_客户级!$A$2:$BX$27,51,FALSE)</f>
        <v>11.1247269556819</v>
      </c>
      <c r="R5" s="33">
        <f>VLOOKUP(B5,拍照客户_客户级!$A$2:$BX$27,52,FALSE)</f>
        <v>-11.3542772083184</v>
      </c>
      <c r="S5" s="33">
        <f>VLOOKUP(B5,拍照客户_客户级!$A$2:$BX$27,55,FALSE)</f>
        <v>-1.30871106309886</v>
      </c>
      <c r="T5" s="32">
        <f>VLOOKUP(B5,拍照客户_业务级!$A$9:$KF$30,282,FALSE)</f>
        <v>-1.007880457915</v>
      </c>
      <c r="U5" s="32">
        <f>VLOOKUP(B5,拍照客户_业务级!$A$9:$KF$30,284,FALSE)</f>
        <v>-1.03919149257585</v>
      </c>
      <c r="V5" s="32">
        <f>VLOOKUP(B5,拍照客户_业务级!$A$9:$KF$30,285,FALSE)</f>
        <v>-3.09168621851895</v>
      </c>
      <c r="W5" s="32">
        <f>VLOOKUP(B5,拍照客户_业务级!$A$9:$KF$30,251,FALSE)</f>
        <v>101.387633771781</v>
      </c>
      <c r="X5" s="33">
        <f>VLOOKUP(B5,拍照客户_业务级!$A$9:$KF$30,253,FALSE)</f>
        <v>-0.675485919592655</v>
      </c>
      <c r="Y5" s="33">
        <f>VLOOKUP(B5,拍照客户_业务级!$A$9:$KF$30,252,FALSE)</f>
        <v>0.354365556839231</v>
      </c>
      <c r="Z5" s="32">
        <f>VLOOKUP(B5,拍照客户_业务级!$A$9:$KF$30,204,FALSE)</f>
        <v>105.089260079796</v>
      </c>
      <c r="AA5" s="33">
        <f>VLOOKUP(B5,拍照客户_业务级!$A$9:$KF$30,206,FALSE)</f>
        <v>-0.378985861225312</v>
      </c>
      <c r="AB5" s="33">
        <f>VLOOKUP(B5,拍照客户_业务级!$A$9:$KF$30,205,FALSE)</f>
        <v>1.18410559038818</v>
      </c>
      <c r="AC5" s="33">
        <f>VLOOKUP(B5,拍照客户_业务级!$A$9:$KF$30,78,FALSE)</f>
        <v>93.8030650993393</v>
      </c>
      <c r="AD5" s="33">
        <f>VLOOKUP(B5,拍照客户_业务级!$A$9:$KF$30,80,FALSE)</f>
        <v>-1.24130910634203</v>
      </c>
      <c r="AE5" s="33">
        <f>VLOOKUP(B5,拍照客户_业务级!$A$9:$KF$30,79,FALSE)</f>
        <v>-1.76168182640852</v>
      </c>
      <c r="AF5" s="32">
        <f>VLOOKUP(B5,拍照客户_业务级!$A$9:$KF$30,213,FALSE)</f>
        <v>99.1310995954844</v>
      </c>
      <c r="AG5" s="33">
        <f>VLOOKUP(B5,拍照客户_业务级!$A$9:$KF$30,215,FALSE)</f>
        <v>-1.7991988222819</v>
      </c>
      <c r="AH5" s="33">
        <f>VLOOKUP(B5,拍照客户_业务级!$A$9:$KF$30,214,FALSE)</f>
        <v>-2.14978759257116</v>
      </c>
      <c r="AI5" s="33">
        <f>VLOOKUP(B5,拍照客户_业务级!$A$9:$KF$30,94,FALSE)</f>
        <v>100.097882870498</v>
      </c>
      <c r="AJ5" s="33">
        <f>VLOOKUP(B5,拍照客户_业务级!$A$9:$KF$30,96,FALSE)</f>
        <v>4.28057312192588</v>
      </c>
      <c r="AK5" s="33">
        <f>VLOOKUP(B5,拍照客户_业务级!$A$9:$KF$30,95,FALSE)</f>
        <v>8.34204191272072</v>
      </c>
      <c r="AL5" s="32">
        <f>VLOOKUP(B5,拍照客户_业务级!$A$9:$KF$30,221,FALSE)</f>
        <v>91.0653672486012</v>
      </c>
      <c r="AM5" s="33">
        <f>VLOOKUP(B5,拍照客户_业务级!$A$9:$KF$30,223,FALSE)</f>
        <v>-3.4451536470957</v>
      </c>
      <c r="AN5" s="33">
        <f>VLOOKUP(B5,拍照客户_业务级!$A$9:$KF$30,222,FALSE)</f>
        <v>15.5582225495567</v>
      </c>
      <c r="AO5" s="33">
        <f>VLOOKUP(B5,拍照客户_业务级!$A$9:$KF$30,108,FALSE)</f>
        <v>88.4202324084426</v>
      </c>
      <c r="AP5" s="33">
        <f>VLOOKUP(B5,拍照客户_业务级!$A$9:$KF$30,110,FALSE)</f>
        <v>-2.31121048887082</v>
      </c>
      <c r="AQ5" s="33">
        <f>VLOOKUP(B5,拍照客户_业务级!$A$9:$KF$30,109,FALSE)</f>
        <v>-6.81112796804213</v>
      </c>
      <c r="AR5" s="32">
        <f>VLOOKUP(B5,拍照客户_业务级!$A$9:$KF$30,227,FALSE)</f>
        <v>93.1886287560509</v>
      </c>
      <c r="AS5" s="33">
        <f>VLOOKUP(B5,拍照客户_业务级!$A$9:$KF$30,229,FALSE)</f>
        <v>-0.484627696997841</v>
      </c>
      <c r="AT5" s="33">
        <f>VLOOKUP(B5,拍照客户_业务级!$A$9:$KF$30,228,FALSE)</f>
        <v>-1.73760778457119</v>
      </c>
      <c r="AU5" s="33">
        <f>VLOOKUP(B5,拍照客户_业务级!$A$9:$KF$30,118,FALSE)</f>
        <v>96.1227872646525</v>
      </c>
      <c r="AV5" s="33">
        <f>VLOOKUP(B5,拍照客户_业务级!$A$9:$KF$30,120,FALSE)</f>
        <v>-0.230030649903046</v>
      </c>
      <c r="AW5" s="33">
        <f>VLOOKUP(B5,拍照客户_业务级!$A$9:$KF$30,119,FALSE)</f>
        <v>0.058077144599078</v>
      </c>
      <c r="AX5" s="32">
        <f>VLOOKUP(B5,拍照客户_业务级!$A$9:$KF$30,254,FALSE)</f>
        <v>97.9565482180782</v>
      </c>
      <c r="AY5" s="33">
        <f>VLOOKUP(B5,拍照客户_业务级!$A$9:$KF$30,256,FALSE)</f>
        <v>-0.908055805166186</v>
      </c>
      <c r="AZ5" s="33">
        <f>VLOOKUP(B5,拍照客户_业务级!$A$9:$KF$30,255,FALSE)</f>
        <v>-3.45307101456817</v>
      </c>
      <c r="BA5" s="32">
        <f>VLOOKUP(B5,拍照客户_业务级!$A$9:$KF$30,233,FALSE)</f>
        <v>98.0052069334269</v>
      </c>
      <c r="BB5" s="33">
        <f>VLOOKUP(B5,拍照客户_业务级!$A$9:$KF$30,235,FALSE)</f>
        <v>-0.66985985400424</v>
      </c>
      <c r="BC5" s="33">
        <f>VLOOKUP(B5,拍照客户_业务级!$A$9:$KF$30,234,FALSE)</f>
        <v>-2.60305820886592</v>
      </c>
      <c r="BD5" s="33">
        <f>VLOOKUP(B5,拍照客户_业务级!$A$9:$KF$30,123,FALSE)</f>
        <v>96.3616468335385</v>
      </c>
      <c r="BE5" s="33">
        <f>VLOOKUP(B5,拍照客户_业务级!$A$9:$KF$30,125,FALSE)</f>
        <v>0.118542834997493</v>
      </c>
      <c r="BF5" s="33">
        <f>VLOOKUP(B5,拍照客户_业务级!$A$9:$KF$30,124,FALSE)</f>
        <v>0.8923620199914</v>
      </c>
      <c r="BG5" s="32">
        <f>VLOOKUP(B5,拍照客户_业务级!$A$9:$KF$30,239,FALSE)</f>
        <v>97.8838203975745</v>
      </c>
      <c r="BH5" s="33">
        <f>VLOOKUP(B5,拍照客户_业务级!$A$9:$KF$30,241,FALSE)</f>
        <v>-1.26407573410771</v>
      </c>
      <c r="BI5" s="33">
        <f>VLOOKUP(B5,拍照客户_业务级!$A$9:$KF$30,240,FALSE)</f>
        <v>-4.81720485391741</v>
      </c>
      <c r="BJ5" s="33">
        <f>VLOOKUP(B5,拍照客户_业务级!$A$9:$KF$30,128,FALSE)</f>
        <v>89.8382767719043</v>
      </c>
      <c r="BK5" s="33">
        <f>VLOOKUP(B5,拍照客户_业务级!$A$9:$KF$30,130,FALSE)</f>
        <v>-3.29360385770175</v>
      </c>
      <c r="BL5" s="33">
        <f>VLOOKUP(B5,拍照客户_业务级!$A$9:$KF$30,129,FALSE)</f>
        <v>-8.76597094126993</v>
      </c>
      <c r="BM5" s="32">
        <f>VLOOKUP(B5,拍照客户_业务级!$A$9:$KF$30,245,FALSE)</f>
        <v>106.206437581139</v>
      </c>
      <c r="BN5" s="32">
        <f>VLOOKUP(B5,拍照客户_业务级!$A$9:$KF$30,247,FALSE)</f>
        <v>-3.60410985192999</v>
      </c>
      <c r="BO5" s="32">
        <f>VLOOKUP(B5,拍照客户_业务级!$A$9:$KF$30,246,FALSE)</f>
        <v>-1.02190193898456</v>
      </c>
    </row>
    <row r="6" ht="13.5" spans="1:67">
      <c r="A6" s="28"/>
      <c r="B6" s="29" t="s">
        <v>47</v>
      </c>
      <c r="C6" s="30">
        <f>ROUND(VLOOKUP(B6,拍照客户_客户级!$A$2:$BX$27,28,FALSE)/10000,3)</f>
        <v>-1719.588</v>
      </c>
      <c r="D6" s="31">
        <f>ROUND(VLOOKUP(B6,拍照客户_客户级!$A$2:$BX$27,29,FALSE)/10000,3)</f>
        <v>4587.97</v>
      </c>
      <c r="E6" s="31">
        <f>ROUND(VLOOKUP(B6,拍照客户_客户级!$A$2:$BX$27,30,FALSE)/10000,3)</f>
        <v>-5678.345</v>
      </c>
      <c r="F6" s="31">
        <f>ROUND(VLOOKUP(B6,拍照客户_客户级!$A$2:$BX$27,33,FALSE)/10000,3)</f>
        <v>-819.933</v>
      </c>
      <c r="G6" s="31">
        <f>ROUND(VLOOKUP(B6,拍照客户_客户级!$A$2:$BX$27,31,FALSE)/10000,3)</f>
        <v>244.911</v>
      </c>
      <c r="H6" s="31">
        <f>ROUND(VLOOKUP(B6,拍照客户_客户级!$A$2:$BX$27,32,FALSE)/10000,3)</f>
        <v>-54.19</v>
      </c>
      <c r="I6" s="32">
        <f>VLOOKUP(B6,拍照客户_客户级!$A$2:$BX$27,13,FALSE)</f>
        <v>92.2180856831572</v>
      </c>
      <c r="J6" s="32">
        <f>VLOOKUP(B6,拍照客户_客户级!$A$2:$BX$27,15,FALSE)</f>
        <v>-1.12770890239432</v>
      </c>
      <c r="K6" s="32">
        <f>VLOOKUP(B6,拍照客户_客户级!$A$2:$BX$27,14,FALSE)</f>
        <v>-0.103257286716352</v>
      </c>
      <c r="L6" s="32">
        <f>VLOOKUP(B6,拍照客户_客户级!$A$2:$BX$27,34,FALSE)</f>
        <v>97.5530548295583</v>
      </c>
      <c r="M6" s="32">
        <f>VLOOKUP(B6,拍照客户_客户级!$A$2:$BX$27,36,FALSE)</f>
        <v>-0.262690525426414</v>
      </c>
      <c r="N6" s="32">
        <f>VLOOKUP(B6,拍照客户_客户级!$A$2:$BX$27,35,FALSE)</f>
        <v>-2.71367293553014</v>
      </c>
      <c r="O6" s="33">
        <f>VLOOKUP(B6,拍照客户_客户级!$A$2:$BX$27,49,FALSE)</f>
        <v>-3.0609371092552</v>
      </c>
      <c r="P6" s="33">
        <f>VLOOKUP(B6,拍照客户_客户级!$A$2:$BX$27,50,FALSE)</f>
        <v>-1.81959046789426</v>
      </c>
      <c r="Q6" s="33">
        <f>VLOOKUP(B6,拍照客户_客户级!$A$2:$BX$27,51,FALSE)</f>
        <v>6.40019041880693</v>
      </c>
      <c r="R6" s="33">
        <f>VLOOKUP(B6,拍照客户_客户级!$A$2:$BX$27,52,FALSE)</f>
        <v>-8.24438162869431</v>
      </c>
      <c r="S6" s="33">
        <f>VLOOKUP(B6,拍照客户_客户级!$A$2:$BX$27,55,FALSE)</f>
        <v>-1.24134664136095</v>
      </c>
      <c r="T6" s="32">
        <f>VLOOKUP(B6,拍照客户_业务级!$A$9:$KF$30,282,FALSE)</f>
        <v>-0.722973610285111</v>
      </c>
      <c r="U6" s="32">
        <f>VLOOKUP(B6,拍照客户_业务级!$A$9:$KF$30,284,FALSE)</f>
        <v>-1.68985707926578</v>
      </c>
      <c r="V6" s="32">
        <f>VLOOKUP(B6,拍照客户_业务级!$A$9:$KF$30,285,FALSE)</f>
        <v>-0.792413951674092</v>
      </c>
      <c r="W6" s="32">
        <f>VLOOKUP(B6,拍照客户_业务级!$A$9:$KF$30,251,FALSE)</f>
        <v>99.546610485689</v>
      </c>
      <c r="X6" s="33">
        <f>VLOOKUP(B6,拍照客户_业务级!$A$9:$KF$30,253,FALSE)</f>
        <v>-0.298478127277535</v>
      </c>
      <c r="Y6" s="33">
        <f>VLOOKUP(B6,拍照客户_业务级!$A$9:$KF$30,252,FALSE)</f>
        <v>-1.4781732428747</v>
      </c>
      <c r="Z6" s="32">
        <f>VLOOKUP(B6,拍照客户_业务级!$A$9:$KF$30,204,FALSE)</f>
        <v>101.533264920117</v>
      </c>
      <c r="AA6" s="33">
        <f>VLOOKUP(B6,拍照客户_业务级!$A$9:$KF$30,206,FALSE)</f>
        <v>-0.184065598618832</v>
      </c>
      <c r="AB6" s="33">
        <f>VLOOKUP(B6,拍照客户_业务级!$A$9:$KF$30,205,FALSE)</f>
        <v>-2.10668951165394</v>
      </c>
      <c r="AC6" s="33">
        <f>VLOOKUP(B6,拍照客户_业务级!$A$9:$KF$30,78,FALSE)</f>
        <v>94.6551457843524</v>
      </c>
      <c r="AD6" s="33">
        <f>VLOOKUP(B6,拍照客户_业务级!$A$9:$KF$30,80,FALSE)</f>
        <v>-0.809722389067169</v>
      </c>
      <c r="AE6" s="33">
        <f>VLOOKUP(B6,拍照客户_业务级!$A$9:$KF$30,79,FALSE)</f>
        <v>-1.18188259894153</v>
      </c>
      <c r="AF6" s="32">
        <f>VLOOKUP(B6,拍照客户_业务级!$A$9:$KF$30,213,FALSE)</f>
        <v>100.233173013242</v>
      </c>
      <c r="AG6" s="33">
        <f>VLOOKUP(B6,拍照客户_业务级!$A$9:$KF$30,215,FALSE)</f>
        <v>-0.482102655511341</v>
      </c>
      <c r="AH6" s="33">
        <f>VLOOKUP(B6,拍照客户_业务级!$A$9:$KF$30,214,FALSE)</f>
        <v>-2.57595942174528</v>
      </c>
      <c r="AI6" s="33">
        <f>VLOOKUP(B6,拍照客户_业务级!$A$9:$KF$30,94,FALSE)</f>
        <v>93.4763285433113</v>
      </c>
      <c r="AJ6" s="33">
        <f>VLOOKUP(B6,拍照客户_业务级!$A$9:$KF$30,96,FALSE)</f>
        <v>-0.203170303274014</v>
      </c>
      <c r="AK6" s="33">
        <f>VLOOKUP(B6,拍照客户_业务级!$A$9:$KF$30,95,FALSE)</f>
        <v>-1.69898560342567</v>
      </c>
      <c r="AL6" s="32">
        <f>VLOOKUP(B6,拍照客户_业务级!$A$9:$KF$30,221,FALSE)</f>
        <v>98.5882245179026</v>
      </c>
      <c r="AM6" s="33">
        <f>VLOOKUP(B6,拍照客户_业务级!$A$9:$KF$30,223,FALSE)</f>
        <v>-0.392575948022988</v>
      </c>
      <c r="AN6" s="33">
        <f>VLOOKUP(B6,拍照客户_业务级!$A$9:$KF$30,222,FALSE)</f>
        <v>-7.10886433107239</v>
      </c>
      <c r="AO6" s="33">
        <f>VLOOKUP(B6,拍照客户_业务级!$A$9:$KF$30,108,FALSE)</f>
        <v>94.8953570835785</v>
      </c>
      <c r="AP6" s="33">
        <f>VLOOKUP(B6,拍照客户_业务级!$A$9:$KF$30,110,FALSE)</f>
        <v>-1.06981727098516</v>
      </c>
      <c r="AQ6" s="33">
        <f>VLOOKUP(B6,拍照客户_业务级!$A$9:$KF$30,109,FALSE)</f>
        <v>1.37719264763208</v>
      </c>
      <c r="AR6" s="32">
        <f>VLOOKUP(B6,拍照客户_业务级!$A$9:$KF$30,227,FALSE)</f>
        <v>93.6716484534418</v>
      </c>
      <c r="AS6" s="33">
        <f>VLOOKUP(B6,拍照客户_业务级!$A$9:$KF$30,229,FALSE)</f>
        <v>-0.442786265231254</v>
      </c>
      <c r="AT6" s="33">
        <f>VLOOKUP(B6,拍照客户_业务级!$A$9:$KF$30,228,FALSE)</f>
        <v>0.886482647996348</v>
      </c>
      <c r="AU6" s="33">
        <f>VLOOKUP(B6,拍照客户_业务级!$A$9:$KF$30,118,FALSE)</f>
        <v>95.4137899709302</v>
      </c>
      <c r="AV6" s="33">
        <f>VLOOKUP(B6,拍照客户_业务级!$A$9:$KF$30,120,FALSE)</f>
        <v>-0.352016715116277</v>
      </c>
      <c r="AW6" s="33">
        <f>VLOOKUP(B6,拍照客户_业务级!$A$9:$KF$30,119,FALSE)</f>
        <v>-0.371840222384789</v>
      </c>
      <c r="AX6" s="32">
        <f>VLOOKUP(B6,拍照客户_业务级!$A$9:$KF$30,254,FALSE)</f>
        <v>96.4334107402865</v>
      </c>
      <c r="AY6" s="33">
        <f>VLOOKUP(B6,拍照客户_业务级!$A$9:$KF$30,256,FALSE)</f>
        <v>-0.237617246534327</v>
      </c>
      <c r="AZ6" s="33">
        <f>VLOOKUP(B6,拍照客户_业务级!$A$9:$KF$30,255,FALSE)</f>
        <v>-1.79465071361063</v>
      </c>
      <c r="BA6" s="32">
        <f>VLOOKUP(B6,拍照客户_业务级!$A$9:$KF$30,233,FALSE)</f>
        <v>101.503415782584</v>
      </c>
      <c r="BB6" s="33">
        <f>VLOOKUP(B6,拍照客户_业务级!$A$9:$KF$30,235,FALSE)</f>
        <v>-0.246259709896792</v>
      </c>
      <c r="BC6" s="33">
        <f>VLOOKUP(B6,拍照客户_业务级!$A$9:$KF$30,234,FALSE)</f>
        <v>-0.0217299237774217</v>
      </c>
      <c r="BD6" s="33">
        <f>VLOOKUP(B6,拍照客户_业务级!$A$9:$KF$30,123,FALSE)</f>
        <v>99.396654173142</v>
      </c>
      <c r="BE6" s="33">
        <f>VLOOKUP(B6,拍照客户_业务级!$A$9:$KF$30,125,FALSE)</f>
        <v>0.255964896242811</v>
      </c>
      <c r="BF6" s="33">
        <f>VLOOKUP(B6,拍照客户_业务级!$A$9:$KF$30,124,FALSE)</f>
        <v>-0.567274044010158</v>
      </c>
      <c r="BG6" s="32">
        <f>VLOOKUP(B6,拍照客户_业务级!$A$9:$KF$30,239,FALSE)</f>
        <v>91.482548705858</v>
      </c>
      <c r="BH6" s="33">
        <f>VLOOKUP(B6,拍照客户_业务级!$A$9:$KF$30,241,FALSE)</f>
        <v>-0.229177877463038</v>
      </c>
      <c r="BI6" s="33">
        <f>VLOOKUP(B6,拍照客户_业务级!$A$9:$KF$30,240,FALSE)</f>
        <v>-3.56950195340087</v>
      </c>
      <c r="BJ6" s="33">
        <f>VLOOKUP(B6,拍照客户_业务级!$A$9:$KF$30,128,FALSE)</f>
        <v>96.8615938420137</v>
      </c>
      <c r="BK6" s="33">
        <f>VLOOKUP(B6,拍照客户_业务级!$A$9:$KF$30,130,FALSE)</f>
        <v>-3.59798345172254</v>
      </c>
      <c r="BL6" s="33">
        <f>VLOOKUP(B6,拍照客户_业务级!$A$9:$KF$30,129,FALSE)</f>
        <v>-2.14235525846892</v>
      </c>
      <c r="BM6" s="32">
        <f>VLOOKUP(B6,拍照客户_业务级!$A$9:$KF$30,245,FALSE)</f>
        <v>93.7173860257831</v>
      </c>
      <c r="BN6" s="32">
        <f>VLOOKUP(B6,拍照客户_业务级!$A$9:$KF$30,247,FALSE)</f>
        <v>-0.217987361793819</v>
      </c>
      <c r="BO6" s="32">
        <f>VLOOKUP(B6,拍照客户_业务级!$A$9:$KF$30,246,FALSE)</f>
        <v>-14.6801402271686</v>
      </c>
    </row>
    <row r="7" ht="14.25" spans="1:67">
      <c r="A7" s="34"/>
      <c r="B7" s="35" t="s">
        <v>48</v>
      </c>
      <c r="C7" s="36">
        <f>ROUND(VLOOKUP(B7,拍照客户_客户级!$A$2:$BX$27,28,FALSE)/10000,3)</f>
        <v>174.808</v>
      </c>
      <c r="D7" s="37">
        <f>ROUND(VLOOKUP(B7,拍照客户_客户级!$A$2:$BX$27,29,FALSE)/10000,3)</f>
        <v>5811.619</v>
      </c>
      <c r="E7" s="37">
        <f>ROUND(VLOOKUP(B7,拍照客户_客户级!$A$2:$BX$27,30,FALSE)/10000,3)</f>
        <v>-5299.155</v>
      </c>
      <c r="F7" s="37">
        <f>ROUND(VLOOKUP(B7,拍照客户_客户级!$A$2:$BX$27,33,FALSE)/10000,3)</f>
        <v>-536.981</v>
      </c>
      <c r="G7" s="37">
        <f>ROUND(VLOOKUP(B7,拍照客户_客户级!$A$2:$BX$27,31,FALSE)/10000,3)</f>
        <v>274.564</v>
      </c>
      <c r="H7" s="37">
        <f>ROUND(VLOOKUP(B7,拍照客户_客户级!$A$2:$BX$27,32,FALSE)/10000,3)</f>
        <v>-75.239</v>
      </c>
      <c r="I7" s="38">
        <f>VLOOKUP(B7,拍照客户_客户级!$A$2:$BX$27,13,FALSE)</f>
        <v>94.527946589061</v>
      </c>
      <c r="J7" s="38">
        <f>VLOOKUP(B7,拍照客户_客户级!$A$2:$BX$27,15,FALSE)</f>
        <v>-0.702302490798601</v>
      </c>
      <c r="K7" s="38">
        <f>VLOOKUP(B7,拍照客户_客户级!$A$2:$BX$27,14,FALSE)</f>
        <v>0.258400050086816</v>
      </c>
      <c r="L7" s="38">
        <f>VLOOKUP(B7,拍照客户_客户级!$A$2:$BX$27,34,FALSE)</f>
        <v>100.270196390341</v>
      </c>
      <c r="M7" s="38">
        <f>VLOOKUP(B7,拍照客户_客户级!$A$2:$BX$27,36,FALSE)</f>
        <v>-0.510272131434175</v>
      </c>
      <c r="N7" s="38">
        <f>VLOOKUP(B7,拍照客户_客户级!$A$2:$BX$27,35,FALSE)</f>
        <v>6.32958759359575</v>
      </c>
      <c r="O7" s="39">
        <f>VLOOKUP(B7,拍照客户_客户级!$A$2:$BX$27,49,FALSE)</f>
        <v>-0.62926234425813</v>
      </c>
      <c r="P7" s="39">
        <f>VLOOKUP(B7,拍照客户_客户级!$A$2:$BX$27,50,FALSE)</f>
        <v>0.452145895720186</v>
      </c>
      <c r="Q7" s="39">
        <f>VLOOKUP(B7,拍照客户_客户级!$A$2:$BX$27,51,FALSE)</f>
        <v>8.76806758872133</v>
      </c>
      <c r="R7" s="39">
        <f>VLOOKUP(B7,拍照客户_客户级!$A$2:$BX$27,52,FALSE)</f>
        <v>-8.34468166611494</v>
      </c>
      <c r="S7" s="39">
        <f>VLOOKUP(B7,拍照客户_客户级!$A$2:$BX$27,55,FALSE)</f>
        <v>-1.08140823997838</v>
      </c>
      <c r="T7" s="38">
        <f>VLOOKUP(B7,拍照客户_业务级!$A$9:$KF$30,282,FALSE)</f>
        <v>-1.55324363485758</v>
      </c>
      <c r="U7" s="38">
        <f>VLOOKUP(B7,拍照客户_业务级!$A$9:$KF$30,284,FALSE)</f>
        <v>0.696444845745651</v>
      </c>
      <c r="V7" s="38">
        <f>VLOOKUP(B7,拍照客户_业务级!$A$9:$KF$30,285,FALSE)</f>
        <v>-0.137138250351325</v>
      </c>
      <c r="W7" s="38">
        <f>VLOOKUP(B7,拍照客户_业务级!$A$9:$KF$30,251,FALSE)</f>
        <v>98.6721372408619</v>
      </c>
      <c r="X7" s="39">
        <f>VLOOKUP(B7,拍照客户_业务级!$A$9:$KF$30,253,FALSE)</f>
        <v>-0.236008057915513</v>
      </c>
      <c r="Y7" s="39">
        <f>VLOOKUP(B7,拍照客户_业务级!$A$9:$KF$30,252,FALSE)</f>
        <v>1.09710808172795</v>
      </c>
      <c r="Z7" s="38">
        <f>VLOOKUP(B7,拍照客户_业务级!$A$9:$KF$30,204,FALSE)</f>
        <v>100.213627424023</v>
      </c>
      <c r="AA7" s="39">
        <f>VLOOKUP(B7,拍照客户_业务级!$A$9:$KF$30,206,FALSE)</f>
        <v>-0.0591341178270977</v>
      </c>
      <c r="AB7" s="39">
        <f>VLOOKUP(B7,拍照客户_业务级!$A$9:$KF$30,205,FALSE)</f>
        <v>-0.929319997496969</v>
      </c>
      <c r="AC7" s="39">
        <f>VLOOKUP(B7,拍照客户_业务级!$A$9:$KF$30,78,FALSE)</f>
        <v>96.411564546686</v>
      </c>
      <c r="AD7" s="39">
        <f>VLOOKUP(B7,拍照客户_业务级!$A$9:$KF$30,80,FALSE)</f>
        <v>-0.333288336304693</v>
      </c>
      <c r="AE7" s="39">
        <f>VLOOKUP(B7,拍照客户_业务级!$A$9:$KF$30,79,FALSE)</f>
        <v>-0.81646410998647</v>
      </c>
      <c r="AF7" s="38">
        <f>VLOOKUP(B7,拍照客户_业务级!$A$9:$KF$30,213,FALSE)</f>
        <v>102.655684327787</v>
      </c>
      <c r="AG7" s="39">
        <f>VLOOKUP(B7,拍照客户_业务级!$A$9:$KF$30,215,FALSE)</f>
        <v>-0.519712675738337</v>
      </c>
      <c r="AH7" s="39">
        <f>VLOOKUP(B7,拍照客户_业务级!$A$9:$KF$30,214,FALSE)</f>
        <v>5.10808140564673</v>
      </c>
      <c r="AI7" s="39">
        <f>VLOOKUP(B7,拍照客户_业务级!$A$9:$KF$30,94,FALSE)</f>
        <v>96.4428659535101</v>
      </c>
      <c r="AJ7" s="39">
        <f>VLOOKUP(B7,拍照客户_业务级!$A$9:$KF$30,96,FALSE)</f>
        <v>-1.03953552667957</v>
      </c>
      <c r="AK7" s="39">
        <f>VLOOKUP(B7,拍照客户_业务级!$A$9:$KF$30,95,FALSE)</f>
        <v>1.38298327467683</v>
      </c>
      <c r="AL7" s="38">
        <f>VLOOKUP(B7,拍照客户_业务级!$A$9:$KF$30,221,FALSE)</f>
        <v>99.2639418614773</v>
      </c>
      <c r="AM7" s="39">
        <f>VLOOKUP(B7,拍照客户_业务级!$A$9:$KF$30,223,FALSE)</f>
        <v>-0.481967190683697</v>
      </c>
      <c r="AN7" s="39">
        <f>VLOOKUP(B7,拍照客户_业务级!$A$9:$KF$30,222,FALSE)</f>
        <v>-4.85334984503828</v>
      </c>
      <c r="AO7" s="39">
        <f>VLOOKUP(B7,拍照客户_业务级!$A$9:$KF$30,108,FALSE)</f>
        <v>89.2750868379666</v>
      </c>
      <c r="AP7" s="39">
        <f>VLOOKUP(B7,拍照客户_业务级!$A$9:$KF$30,110,FALSE)</f>
        <v>-2.70413993641311</v>
      </c>
      <c r="AQ7" s="39">
        <f>VLOOKUP(B7,拍照客户_业务级!$A$9:$KF$30,109,FALSE)</f>
        <v>-5.13165817991794</v>
      </c>
      <c r="AR7" s="38">
        <f>VLOOKUP(B7,拍照客户_业务级!$A$9:$KF$30,227,FALSE)</f>
        <v>91.7218429366802</v>
      </c>
      <c r="AS7" s="39">
        <f>VLOOKUP(B7,拍照客户_业务级!$A$9:$KF$30,229,FALSE)</f>
        <v>-0.497286945421083</v>
      </c>
      <c r="AT7" s="39">
        <f>VLOOKUP(B7,拍照客户_业务级!$A$9:$KF$30,228,FALSE)</f>
        <v>2.97539534513138</v>
      </c>
      <c r="AU7" s="39">
        <f>VLOOKUP(B7,拍照客户_业务级!$A$9:$KF$30,118,FALSE)</f>
        <v>95.4440884602637</v>
      </c>
      <c r="AV7" s="39">
        <f>VLOOKUP(B7,拍照客户_业务级!$A$9:$KF$30,120,FALSE)</f>
        <v>-0.500399669866192</v>
      </c>
      <c r="AW7" s="39">
        <f>VLOOKUP(B7,拍照客户_业务级!$A$9:$KF$30,119,FALSE)</f>
        <v>0.168916839028288</v>
      </c>
      <c r="AX7" s="38">
        <f>VLOOKUP(B7,拍照客户_业务级!$A$9:$KF$30,254,FALSE)</f>
        <v>102.752797843615</v>
      </c>
      <c r="AY7" s="39">
        <f>VLOOKUP(B7,拍照客户_业务级!$A$9:$KF$30,256,FALSE)</f>
        <v>-1.08478018982494</v>
      </c>
      <c r="AZ7" s="39">
        <f>VLOOKUP(B7,拍照客户_业务级!$A$9:$KF$30,255,FALSE)</f>
        <v>8.03465192770704</v>
      </c>
      <c r="BA7" s="38">
        <f>VLOOKUP(B7,拍照客户_业务级!$A$9:$KF$30,233,FALSE)</f>
        <v>103.487418208684</v>
      </c>
      <c r="BB7" s="39">
        <f>VLOOKUP(B7,拍照客户_业务级!$A$9:$KF$30,235,FALSE)</f>
        <v>-0.715580866781362</v>
      </c>
      <c r="BC7" s="39">
        <f>VLOOKUP(B7,拍照客户_业务级!$A$9:$KF$30,234,FALSE)</f>
        <v>4.14558676068426</v>
      </c>
      <c r="BD7" s="39">
        <f>VLOOKUP(B7,拍照客户_业务级!$A$9:$KF$30,123,FALSE)</f>
        <v>100.203075137801</v>
      </c>
      <c r="BE7" s="39">
        <f>VLOOKUP(B7,拍照客户_业务级!$A$9:$KF$30,125,FALSE)</f>
        <v>0.17406440382941</v>
      </c>
      <c r="BF7" s="39">
        <f>VLOOKUP(B7,拍照客户_业务级!$A$9:$KF$30,124,FALSE)</f>
        <v>5.52047754568131</v>
      </c>
      <c r="BG7" s="38">
        <f>VLOOKUP(B7,拍照客户_业务级!$A$9:$KF$30,239,FALSE)</f>
        <v>101.816290982756</v>
      </c>
      <c r="BH7" s="39">
        <f>VLOOKUP(B7,拍照客户_业务级!$A$9:$KF$30,241,FALSE)</f>
        <v>-1.55544192954168</v>
      </c>
      <c r="BI7" s="39">
        <f>VLOOKUP(B7,拍照客户_业务级!$A$9:$KF$30,240,FALSE)</f>
        <v>12.5096615661245</v>
      </c>
      <c r="BJ7" s="39">
        <f>VLOOKUP(B7,拍照客户_业务级!$A$9:$KF$30,128,FALSE)</f>
        <v>88.9560293391099</v>
      </c>
      <c r="BK7" s="39">
        <f>VLOOKUP(B7,拍照客户_业务级!$A$9:$KF$30,130,FALSE)</f>
        <v>0.25082658761828</v>
      </c>
      <c r="BL7" s="39">
        <f>VLOOKUP(B7,拍照客户_业务级!$A$9:$KF$30,129,FALSE)</f>
        <v>-7.21638851508862</v>
      </c>
      <c r="BM7" s="38">
        <f>VLOOKUP(B7,拍照客户_业务级!$A$9:$KF$30,245,FALSE)</f>
        <v>102.573401137027</v>
      </c>
      <c r="BN7" s="38">
        <f>VLOOKUP(B7,拍照客户_业务级!$A$9:$KF$30,247,FALSE)</f>
        <v>-0.49741704284943</v>
      </c>
      <c r="BO7" s="38">
        <f>VLOOKUP(B7,拍照客户_业务级!$A$9:$KF$30,246,FALSE)</f>
        <v>29.4259043874383</v>
      </c>
    </row>
    <row r="8" ht="13.5" spans="1:67">
      <c r="A8" s="40" t="s">
        <v>49</v>
      </c>
      <c r="B8" s="41" t="s">
        <v>50</v>
      </c>
      <c r="C8" s="42">
        <f>ROUND(VLOOKUP(B8,拍照客户_客户级!$A$2:$BX$27,28,FALSE)/10000,3)</f>
        <v>478.83</v>
      </c>
      <c r="D8" s="43">
        <f>ROUND(VLOOKUP(B8,拍照客户_客户级!$A$2:$BX$27,29,FALSE)/10000,3)</f>
        <v>2556.74</v>
      </c>
      <c r="E8" s="43">
        <f>ROUND(VLOOKUP(B8,拍照客户_客户级!$A$2:$BX$27,30,FALSE)/10000,3)</f>
        <v>-1866.573</v>
      </c>
      <c r="F8" s="43">
        <f>ROUND(VLOOKUP(B8,拍照客户_客户级!$A$2:$BX$27,33,FALSE)/10000,3)</f>
        <v>-322.033</v>
      </c>
      <c r="G8" s="43">
        <f>ROUND(VLOOKUP(B8,拍照客户_客户级!$A$2:$BX$27,31,FALSE)/10000,3)</f>
        <v>169.765</v>
      </c>
      <c r="H8" s="43">
        <f>ROUND(VLOOKUP(B8,拍照客户_客户级!$A$2:$BX$27,32,FALSE)/10000,3)</f>
        <v>-59.068</v>
      </c>
      <c r="I8" s="44">
        <f>VLOOKUP(B8,拍照客户_客户级!$A$2:$BX$27,13,FALSE)</f>
        <v>94.1689884030067</v>
      </c>
      <c r="J8" s="44">
        <f>VLOOKUP(B8,拍照客户_客户级!$A$2:$BX$27,15,FALSE)</f>
        <v>-1.14248554360509</v>
      </c>
      <c r="K8" s="44">
        <f>VLOOKUP(B8,拍照客户_客户级!$A$2:$BX$27,14,FALSE)</f>
        <v>0.104788322410254</v>
      </c>
      <c r="L8" s="44">
        <f>VLOOKUP(B8,拍照客户_客户级!$A$2:$BX$27,34,FALSE)</f>
        <v>101.582414595649</v>
      </c>
      <c r="M8" s="44">
        <f>VLOOKUP(B8,拍照客户_客户级!$A$2:$BX$27,36,FALSE)</f>
        <v>-0.34501604536834</v>
      </c>
      <c r="N8" s="44">
        <f>VLOOKUP(B8,拍照客户_客户级!$A$2:$BX$27,35,FALSE)</f>
        <v>1.81985237281622</v>
      </c>
      <c r="O8" s="27">
        <f>VLOOKUP(B8,拍照客户_客户级!$A$2:$BX$27,49,FALSE)</f>
        <v>0.774860753543138</v>
      </c>
      <c r="P8" s="27">
        <f>VLOOKUP(B8,拍照客户_客户级!$A$2:$BX$27,50,FALSE)</f>
        <v>1.91516351320227</v>
      </c>
      <c r="Q8" s="27">
        <f>VLOOKUP(B8,拍照客户_客户级!$A$2:$BX$27,51,FALSE)</f>
        <v>8.20625941453482</v>
      </c>
      <c r="R8" s="27">
        <f>VLOOKUP(B8,拍照客户_客户级!$A$2:$BX$27,52,FALSE)</f>
        <v>-6.36349788314523</v>
      </c>
      <c r="S8" s="27">
        <f>VLOOKUP(B8,拍照客户_客户级!$A$2:$BX$27,55,FALSE)</f>
        <v>-1.14030275965912</v>
      </c>
      <c r="T8" s="44">
        <f>VLOOKUP(B8,拍照客户_业务级!$A$9:$KF$30,282,FALSE)</f>
        <v>-0.819323931420269</v>
      </c>
      <c r="U8" s="44">
        <f>VLOOKUP(B8,拍照客户_业务级!$A$9:$KF$30,284,FALSE)</f>
        <v>1.05206777839716</v>
      </c>
      <c r="V8" s="44">
        <f>VLOOKUP(B8,拍照客户_业务级!$A$9:$KF$30,285,FALSE)</f>
        <v>-0.385412700055427</v>
      </c>
      <c r="W8" s="44">
        <f>VLOOKUP(B8,拍照客户_业务级!$A$9:$KF$30,251,FALSE)</f>
        <v>99.8908665443295</v>
      </c>
      <c r="X8" s="27">
        <f>VLOOKUP(B8,拍照客户_业务级!$A$9:$KF$30,253,FALSE)</f>
        <v>-0.292180625887217</v>
      </c>
      <c r="Y8" s="27">
        <f>VLOOKUP(B8,拍照客户_业务级!$A$9:$KF$30,252,FALSE)</f>
        <v>-0.124863162967977</v>
      </c>
      <c r="Z8" s="44">
        <f>VLOOKUP(B8,拍照客户_业务级!$A$9:$KF$30,204,FALSE)</f>
        <v>101.356347365187</v>
      </c>
      <c r="AA8" s="27">
        <f>VLOOKUP(B8,拍照客户_业务级!$A$9:$KF$30,206,FALSE)</f>
        <v>-0.284506735333112</v>
      </c>
      <c r="AB8" s="27">
        <f>VLOOKUP(B8,拍照客户_业务级!$A$9:$KF$30,205,FALSE)</f>
        <v>-0.622549206180456</v>
      </c>
      <c r="AC8" s="27">
        <f>VLOOKUP(B8,拍照客户_业务级!$A$9:$KF$30,78,FALSE)</f>
        <v>95.2964494878173</v>
      </c>
      <c r="AD8" s="27">
        <f>VLOOKUP(B8,拍照客户_业务级!$A$9:$KF$30,80,FALSE)</f>
        <v>-1.20895190715479</v>
      </c>
      <c r="AE8" s="27">
        <f>VLOOKUP(B8,拍照客户_业务级!$A$9:$KF$30,79,FALSE)</f>
        <v>-1.1472590745947</v>
      </c>
      <c r="AF8" s="44">
        <f>VLOOKUP(B8,拍照客户_业务级!$A$9:$KF$30,213,FALSE)</f>
        <v>104.928477583779</v>
      </c>
      <c r="AG8" s="27">
        <f>VLOOKUP(B8,拍照客户_业务级!$A$9:$KF$30,215,FALSE)</f>
        <v>-0.337572109604168</v>
      </c>
      <c r="AH8" s="27">
        <f>VLOOKUP(B8,拍照客户_业务级!$A$9:$KF$30,214,FALSE)</f>
        <v>2.39303367698273</v>
      </c>
      <c r="AI8" s="27">
        <f>VLOOKUP(B8,拍照客户_业务级!$A$9:$KF$30,94,FALSE)</f>
        <v>96.4257856028527</v>
      </c>
      <c r="AJ8" s="27">
        <f>VLOOKUP(B8,拍照客户_业务级!$A$9:$KF$30,96,FALSE)</f>
        <v>-0.871266993536879</v>
      </c>
      <c r="AK8" s="27">
        <f>VLOOKUP(B8,拍照客户_业务级!$A$9:$KF$30,95,FALSE)</f>
        <v>1.8001951701522</v>
      </c>
      <c r="AL8" s="44">
        <f>VLOOKUP(B8,拍照客户_业务级!$A$9:$KF$30,221,FALSE)</f>
        <v>101.043935871778</v>
      </c>
      <c r="AM8" s="27">
        <f>VLOOKUP(B8,拍照客户_业务级!$A$9:$KF$30,223,FALSE)</f>
        <v>-0.45400147216319</v>
      </c>
      <c r="AN8" s="27">
        <f>VLOOKUP(B8,拍照客户_业务级!$A$9:$KF$30,222,FALSE)</f>
        <v>-5.59492603873923</v>
      </c>
      <c r="AO8" s="27">
        <f>VLOOKUP(B8,拍照客户_业务级!$A$9:$KF$30,108,FALSE)</f>
        <v>90.836335862653</v>
      </c>
      <c r="AP8" s="27">
        <f>VLOOKUP(B8,拍照客户_业务级!$A$9:$KF$30,110,FALSE)</f>
        <v>-3.14310857256712</v>
      </c>
      <c r="AQ8" s="27">
        <f>VLOOKUP(B8,拍照客户_业务级!$A$9:$KF$30,109,FALSE)</f>
        <v>-1.9597311548856</v>
      </c>
      <c r="AR8" s="44">
        <f>VLOOKUP(B8,拍照客户_业务级!$A$9:$KF$30,227,FALSE)</f>
        <v>91.1563735605079</v>
      </c>
      <c r="AS8" s="27">
        <f>VLOOKUP(B8,拍照客户_业务级!$A$9:$KF$30,229,FALSE)</f>
        <v>-0.258725650462666</v>
      </c>
      <c r="AT8" s="27">
        <f>VLOOKUP(B8,拍照客户_业务级!$A$9:$KF$30,228,FALSE)</f>
        <v>-1.38286148385484</v>
      </c>
      <c r="AU8" s="27">
        <f>VLOOKUP(B8,拍照客户_业务级!$A$9:$KF$30,118,FALSE)</f>
        <v>95.957913144167</v>
      </c>
      <c r="AV8" s="27">
        <f>VLOOKUP(B8,拍照客户_业务级!$A$9:$KF$30,120,FALSE)</f>
        <v>-0.385776485948408</v>
      </c>
      <c r="AW8" s="27">
        <f>VLOOKUP(B8,拍照客户_业务级!$A$9:$KF$30,119,FALSE)</f>
        <v>5.60199860534467</v>
      </c>
      <c r="AX8" s="44">
        <f>VLOOKUP(B8,拍照客户_业务级!$A$9:$KF$30,254,FALSE)</f>
        <v>105.562233403942</v>
      </c>
      <c r="AY8" s="27">
        <f>VLOOKUP(B8,拍照客户_业务级!$A$9:$KF$30,256,FALSE)</f>
        <v>-0.0464169370629319</v>
      </c>
      <c r="AZ8" s="27">
        <f>VLOOKUP(B8,拍照客户_业务级!$A$9:$KF$30,255,FALSE)</f>
        <v>4.57152104381061</v>
      </c>
      <c r="BA8" s="44">
        <f>VLOOKUP(B8,拍照客户_业务级!$A$9:$KF$30,233,FALSE)</f>
        <v>107.049975507402</v>
      </c>
      <c r="BB8" s="27">
        <f>VLOOKUP(B8,拍照客户_业务级!$A$9:$KF$30,235,FALSE)</f>
        <v>0.0282435282107807</v>
      </c>
      <c r="BC8" s="27">
        <f>VLOOKUP(B8,拍照客户_业务级!$A$9:$KF$30,234,FALSE)</f>
        <v>2.55455611913551</v>
      </c>
      <c r="BD8" s="27">
        <f>VLOOKUP(B8,拍照客户_业务级!$A$9:$KF$30,123,FALSE)</f>
        <v>105.208101491209</v>
      </c>
      <c r="BE8" s="27">
        <f>VLOOKUP(B8,拍照客户_业务级!$A$9:$KF$30,125,FALSE)</f>
        <v>-1.46895170264858</v>
      </c>
      <c r="BF8" s="27">
        <f>VLOOKUP(B8,拍照客户_业务级!$A$9:$KF$30,124,FALSE)</f>
        <v>-0.136316561048</v>
      </c>
      <c r="BG8" s="44">
        <f>VLOOKUP(B8,拍照客户_业务级!$A$9:$KF$30,239,FALSE)</f>
        <v>103.473106027946</v>
      </c>
      <c r="BH8" s="27">
        <f>VLOOKUP(B8,拍照客户_业务级!$A$9:$KF$30,241,FALSE)</f>
        <v>-0.151257165450036</v>
      </c>
      <c r="BI8" s="27">
        <f>VLOOKUP(B8,拍照客户_业务级!$A$9:$KF$30,240,FALSE)</f>
        <v>7.07909752928219</v>
      </c>
      <c r="BJ8" s="27">
        <f>VLOOKUP(B8,拍照客户_业务级!$A$9:$KF$30,128,FALSE)</f>
        <v>99.5748400683435</v>
      </c>
      <c r="BK8" s="27">
        <f>VLOOKUP(B8,拍照客户_业务级!$A$9:$KF$30,130,FALSE)</f>
        <v>-0.949656295943113</v>
      </c>
      <c r="BL8" s="27">
        <f>VLOOKUP(B8,拍照客户_业务级!$A$9:$KF$30,129,FALSE)</f>
        <v>-5.56285744858657</v>
      </c>
      <c r="BM8" s="44">
        <f>VLOOKUP(B8,拍照客户_业务级!$A$9:$KF$30,245,FALSE)</f>
        <v>105.097719799844</v>
      </c>
      <c r="BN8" s="44">
        <f>VLOOKUP(B8,拍照客户_业务级!$A$9:$KF$30,247,FALSE)</f>
        <v>-1.19645436305287</v>
      </c>
      <c r="BO8" s="44">
        <f>VLOOKUP(B8,拍照客户_业务级!$A$9:$KF$30,246,FALSE)</f>
        <v>9.54904050573115</v>
      </c>
    </row>
    <row r="9" ht="13.5" spans="1:67">
      <c r="A9" s="28"/>
      <c r="B9" s="29" t="s">
        <v>51</v>
      </c>
      <c r="C9" s="30">
        <f>ROUND(VLOOKUP(B9,拍照客户_客户级!$A$2:$BX$27,28,FALSE)/10000,3)</f>
        <v>-1545.834</v>
      </c>
      <c r="D9" s="31">
        <f>ROUND(VLOOKUP(B9,拍照客户_客户级!$A$2:$BX$27,29,FALSE)/10000,3)</f>
        <v>2680.002</v>
      </c>
      <c r="E9" s="31">
        <f>ROUND(VLOOKUP(B9,拍照客户_客户级!$A$2:$BX$27,30,FALSE)/10000,3)</f>
        <v>-4070.164</v>
      </c>
      <c r="F9" s="31">
        <f>ROUND(VLOOKUP(B9,拍照客户_客户级!$A$2:$BX$27,33,FALSE)/10000,3)</f>
        <v>-360.213</v>
      </c>
      <c r="G9" s="31">
        <f>ROUND(VLOOKUP(B9,拍照客户_客户级!$A$2:$BX$27,31,FALSE)/10000,3)</f>
        <v>170.606</v>
      </c>
      <c r="H9" s="31">
        <f>ROUND(VLOOKUP(B9,拍照客户_客户级!$A$2:$BX$27,32,FALSE)/10000,3)</f>
        <v>33.936</v>
      </c>
      <c r="I9" s="32">
        <f>VLOOKUP(B9,拍照客户_客户级!$A$2:$BX$27,13,FALSE)</f>
        <v>92.2533468030588</v>
      </c>
      <c r="J9" s="32">
        <f>VLOOKUP(B9,拍照客户_客户级!$A$2:$BX$27,15,FALSE)</f>
        <v>-1.01691967003633</v>
      </c>
      <c r="K9" s="32">
        <f>VLOOKUP(B9,拍照客户_客户级!$A$2:$BX$27,14,FALSE)</f>
        <v>1.4471111930549</v>
      </c>
      <c r="L9" s="32">
        <f>VLOOKUP(B9,拍照客户_客户级!$A$2:$BX$27,34,FALSE)</f>
        <v>95.7912521792619</v>
      </c>
      <c r="M9" s="32">
        <f>VLOOKUP(B9,拍照客户_客户级!$A$2:$BX$27,36,FALSE)</f>
        <v>-0.717463061964146</v>
      </c>
      <c r="N9" s="32">
        <f>VLOOKUP(B9,拍照客户_客户级!$A$2:$BX$27,35,FALSE)</f>
        <v>-4.40525811798443</v>
      </c>
      <c r="O9" s="33">
        <f>VLOOKUP(B9,拍照客户_客户级!$A$2:$BX$27,49,FALSE)</f>
        <v>-7.98405093072401</v>
      </c>
      <c r="P9" s="33">
        <f>VLOOKUP(B9,拍照客户_客户级!$A$2:$BX$27,50,FALSE)</f>
        <v>-6.86508987815071</v>
      </c>
      <c r="Q9" s="33">
        <f>VLOOKUP(B9,拍照客户_客户级!$A$2:$BX$27,51,FALSE)</f>
        <v>6.92023415312175</v>
      </c>
      <c r="R9" s="33">
        <f>VLOOKUP(B9,拍照客户_客户级!$A$2:$BX$27,52,FALSE)</f>
        <v>-13.8427701902468</v>
      </c>
      <c r="S9" s="33">
        <f>VLOOKUP(B9,拍照客户_客户级!$A$2:$BX$27,55,FALSE)</f>
        <v>-1.11896105257322</v>
      </c>
      <c r="T9" s="32">
        <f>VLOOKUP(B9,拍照客户_业务级!$A$9:$KF$30,282,FALSE)</f>
        <v>-0.251737572405315</v>
      </c>
      <c r="U9" s="32">
        <f>VLOOKUP(B9,拍照客户_业务级!$A$9:$KF$30,284,FALSE)</f>
        <v>-3.22662358460237</v>
      </c>
      <c r="V9" s="32">
        <f>VLOOKUP(B9,拍照客户_业务级!$A$9:$KF$30,285,FALSE)</f>
        <v>-5.86323597649904</v>
      </c>
      <c r="W9" s="32">
        <f>VLOOKUP(B9,拍照客户_业务级!$A$9:$KF$30,251,FALSE)</f>
        <v>100.946445945385</v>
      </c>
      <c r="X9" s="33">
        <f>VLOOKUP(B9,拍照客户_业务级!$A$9:$KF$30,253,FALSE)</f>
        <v>-0.251108725395233</v>
      </c>
      <c r="Y9" s="33">
        <f>VLOOKUP(B9,拍照客户_业务级!$A$9:$KF$30,252,FALSE)</f>
        <v>0.582512635704712</v>
      </c>
      <c r="Z9" s="32">
        <f>VLOOKUP(B9,拍照客户_业务级!$A$9:$KF$30,204,FALSE)</f>
        <v>105.739188345447</v>
      </c>
      <c r="AA9" s="33">
        <f>VLOOKUP(B9,拍照客户_业务级!$A$9:$KF$30,206,FALSE)</f>
        <v>-0.19903760372746</v>
      </c>
      <c r="AB9" s="33">
        <f>VLOOKUP(B9,拍照客户_业务级!$A$9:$KF$30,205,FALSE)</f>
        <v>0.83428284852919</v>
      </c>
      <c r="AC9" s="33">
        <f>VLOOKUP(B9,拍照客户_业务级!$A$9:$KF$30,78,FALSE)</f>
        <v>94.6062090527112</v>
      </c>
      <c r="AD9" s="33">
        <f>VLOOKUP(B9,拍照客户_业务级!$A$9:$KF$30,80,FALSE)</f>
        <v>-0.531692454746402</v>
      </c>
      <c r="AE9" s="33">
        <f>VLOOKUP(B9,拍照客户_业务级!$A$9:$KF$30,79,FALSE)</f>
        <v>-0.594922060878067</v>
      </c>
      <c r="AF9" s="32">
        <f>VLOOKUP(B9,拍照客户_业务级!$A$9:$KF$30,213,FALSE)</f>
        <v>97.0759404498485</v>
      </c>
      <c r="AG9" s="33">
        <f>VLOOKUP(B9,拍照客户_业务级!$A$9:$KF$30,215,FALSE)</f>
        <v>-0.274128401743245</v>
      </c>
      <c r="AH9" s="33">
        <f>VLOOKUP(B9,拍照客户_业务级!$A$9:$KF$30,214,FALSE)</f>
        <v>1.17221691292876</v>
      </c>
      <c r="AI9" s="33">
        <f>VLOOKUP(B9,拍照客户_业务级!$A$9:$KF$30,94,FALSE)</f>
        <v>95.0067451512315</v>
      </c>
      <c r="AJ9" s="33">
        <f>VLOOKUP(B9,拍照客户_业务级!$A$9:$KF$30,96,FALSE)</f>
        <v>-0.698841898078184</v>
      </c>
      <c r="AK9" s="33">
        <f>VLOOKUP(B9,拍照客户_业务级!$A$9:$KF$30,95,FALSE)</f>
        <v>-0.0466604939937332</v>
      </c>
      <c r="AL9" s="32">
        <f>VLOOKUP(B9,拍照客户_业务级!$A$9:$KF$30,221,FALSE)</f>
        <v>93.6096488655488</v>
      </c>
      <c r="AM9" s="33">
        <f>VLOOKUP(B9,拍照客户_业务级!$A$9:$KF$30,223,FALSE)</f>
        <v>-0.73436624964115</v>
      </c>
      <c r="AN9" s="33">
        <f>VLOOKUP(B9,拍照客户_业务级!$A$9:$KF$30,222,FALSE)</f>
        <v>-11.3613315569378</v>
      </c>
      <c r="AO9" s="33">
        <f>VLOOKUP(B9,拍照客户_业务级!$A$9:$KF$30,108,FALSE)</f>
        <v>90.2562814070352</v>
      </c>
      <c r="AP9" s="33">
        <f>VLOOKUP(B9,拍照客户_业务级!$A$9:$KF$30,110,FALSE)</f>
        <v>-1.99916247906198</v>
      </c>
      <c r="AQ9" s="33">
        <f>VLOOKUP(B9,拍照客户_业务级!$A$9:$KF$30,109,FALSE)</f>
        <v>-7.26302163899335</v>
      </c>
      <c r="AR9" s="32">
        <f>VLOOKUP(B9,拍照客户_业务级!$A$9:$KF$30,227,FALSE)</f>
        <v>92.692036899811</v>
      </c>
      <c r="AS9" s="33">
        <f>VLOOKUP(B9,拍照客户_业务级!$A$9:$KF$30,229,FALSE)</f>
        <v>-0.321462659266174</v>
      </c>
      <c r="AT9" s="33">
        <f>VLOOKUP(B9,拍照客户_业务级!$A$9:$KF$30,228,FALSE)</f>
        <v>-0.758104831336614</v>
      </c>
      <c r="AU9" s="33">
        <f>VLOOKUP(B9,拍照客户_业务级!$A$9:$KF$30,118,FALSE)</f>
        <v>95.8711752197186</v>
      </c>
      <c r="AV9" s="33">
        <f>VLOOKUP(B9,拍照客户_业务级!$A$9:$KF$30,120,FALSE)</f>
        <v>-0.739553544305127</v>
      </c>
      <c r="AW9" s="33">
        <f>VLOOKUP(B9,拍照客户_业务级!$A$9:$KF$30,119,FALSE)</f>
        <v>0.0600965480656135</v>
      </c>
      <c r="AX9" s="32">
        <f>VLOOKUP(B9,拍照客户_业务级!$A$9:$KF$30,254,FALSE)</f>
        <v>89.2982989779866</v>
      </c>
      <c r="AY9" s="33">
        <f>VLOOKUP(B9,拍照客户_业务级!$A$9:$KF$30,256,FALSE)</f>
        <v>-1.17294472315165</v>
      </c>
      <c r="AZ9" s="33">
        <f>VLOOKUP(B9,拍照客户_业务级!$A$9:$KF$30,255,FALSE)</f>
        <v>-10.1620879934812</v>
      </c>
      <c r="BA9" s="32">
        <f>VLOOKUP(B9,拍照客户_业务级!$A$9:$KF$30,233,FALSE)</f>
        <v>95.8433049279187</v>
      </c>
      <c r="BB9" s="33">
        <f>VLOOKUP(B9,拍照客户_业务级!$A$9:$KF$30,235,FALSE)</f>
        <v>-0.307577453076681</v>
      </c>
      <c r="BC9" s="33">
        <f>VLOOKUP(B9,拍照客户_业务级!$A$9:$KF$30,234,FALSE)</f>
        <v>1.46356764395915</v>
      </c>
      <c r="BD9" s="33">
        <f>VLOOKUP(B9,拍照客户_业务级!$A$9:$KF$30,123,FALSE)</f>
        <v>106.093979441997</v>
      </c>
      <c r="BE9" s="33">
        <f>VLOOKUP(B9,拍照客户_业务级!$A$9:$KF$30,125,FALSE)</f>
        <v>-1.15026921194323</v>
      </c>
      <c r="BF9" s="33">
        <f>VLOOKUP(B9,拍照客户_业务级!$A$9:$KF$30,124,FALSE)</f>
        <v>13.4864206114765</v>
      </c>
      <c r="BG9" s="32">
        <f>VLOOKUP(B9,拍照客户_业务级!$A$9:$KF$30,239,FALSE)</f>
        <v>83.3054458937526</v>
      </c>
      <c r="BH9" s="33">
        <f>VLOOKUP(B9,拍照客户_业务级!$A$9:$KF$30,241,FALSE)</f>
        <v>-1.96530747318361</v>
      </c>
      <c r="BI9" s="33">
        <f>VLOOKUP(B9,拍照客户_业务级!$A$9:$KF$30,240,FALSE)</f>
        <v>-21.360397087898</v>
      </c>
      <c r="BJ9" s="33">
        <f>VLOOKUP(B9,拍照客户_业务级!$A$9:$KF$30,128,FALSE)</f>
        <v>91.5186853962364</v>
      </c>
      <c r="BK9" s="33">
        <f>VLOOKUP(B9,拍照客户_业务级!$A$9:$KF$30,130,FALSE)</f>
        <v>-0.269458432723735</v>
      </c>
      <c r="BL9" s="33">
        <f>VLOOKUP(B9,拍照客户_业务级!$A$9:$KF$30,129,FALSE)</f>
        <v>-13.689970304004</v>
      </c>
      <c r="BM9" s="32">
        <f>VLOOKUP(B9,拍照客户_业务级!$A$9:$KF$30,245,FALSE)</f>
        <v>83.5607974620798</v>
      </c>
      <c r="BN9" s="32">
        <f>VLOOKUP(B9,拍照客户_业务级!$A$9:$KF$30,247,FALSE)</f>
        <v>-2.28873707447099</v>
      </c>
      <c r="BO9" s="32">
        <f>VLOOKUP(B9,拍照客户_业务级!$A$9:$KF$30,246,FALSE)</f>
        <v>-18.734742375292</v>
      </c>
    </row>
    <row r="10" ht="13.5" spans="1:67">
      <c r="A10" s="28"/>
      <c r="B10" s="29" t="s">
        <v>52</v>
      </c>
      <c r="C10" s="30">
        <f>ROUND(VLOOKUP(B10,拍照客户_客户级!$A$2:$BX$27,28,FALSE)/10000,3)</f>
        <v>830.714</v>
      </c>
      <c r="D10" s="31">
        <f>ROUND(VLOOKUP(B10,拍照客户_客户级!$A$2:$BX$27,29,FALSE)/10000,3)</f>
        <v>2814.36</v>
      </c>
      <c r="E10" s="31">
        <f>ROUND(VLOOKUP(B10,拍照客户_客户级!$A$2:$BX$27,30,FALSE)/10000,3)</f>
        <v>-1919.242</v>
      </c>
      <c r="F10" s="31">
        <f>ROUND(VLOOKUP(B10,拍照客户_客户级!$A$2:$BX$27,33,FALSE)/10000,3)</f>
        <v>-430.521</v>
      </c>
      <c r="G10" s="31">
        <f>ROUND(VLOOKUP(B10,拍照客户_客户级!$A$2:$BX$27,31,FALSE)/10000,3)</f>
        <v>321.298</v>
      </c>
      <c r="H10" s="31">
        <f>ROUND(VLOOKUP(B10,拍照客户_客户级!$A$2:$BX$27,32,FALSE)/10000,3)</f>
        <v>44.819</v>
      </c>
      <c r="I10" s="32">
        <f>VLOOKUP(B10,拍照客户_客户级!$A$2:$BX$27,13,FALSE)</f>
        <v>92.9244389012185</v>
      </c>
      <c r="J10" s="32">
        <f>VLOOKUP(B10,拍照客户_客户级!$A$2:$BX$27,15,FALSE)</f>
        <v>-0.919523364086017</v>
      </c>
      <c r="K10" s="32">
        <f>VLOOKUP(B10,拍照客户_客户级!$A$2:$BX$27,14,FALSE)</f>
        <v>0.97899387570104</v>
      </c>
      <c r="L10" s="32">
        <f>VLOOKUP(B10,拍照客户_客户级!$A$2:$BX$27,34,FALSE)</f>
        <v>102.893724452588</v>
      </c>
      <c r="M10" s="32">
        <f>VLOOKUP(B10,拍照客户_客户级!$A$2:$BX$27,36,FALSE)</f>
        <v>-0.269115963206823</v>
      </c>
      <c r="N10" s="32">
        <f>VLOOKUP(B10,拍照客户_客户级!$A$2:$BX$27,35,FALSE)</f>
        <v>-2.53291903176246</v>
      </c>
      <c r="O10" s="33">
        <f>VLOOKUP(B10,拍照客户_客户级!$A$2:$BX$27,49,FALSE)</f>
        <v>0.980601601365327</v>
      </c>
      <c r="P10" s="33">
        <f>VLOOKUP(B10,拍照客户_客户级!$A$2:$BX$27,50,FALSE)</f>
        <v>2.63325355876531</v>
      </c>
      <c r="Q10" s="33">
        <f>VLOOKUP(B10,拍照客户_客户级!$A$2:$BX$27,51,FALSE)</f>
        <v>9.48138878160835</v>
      </c>
      <c r="R10" s="33">
        <f>VLOOKUP(B10,拍照客户_客户级!$A$2:$BX$27,52,FALSE)</f>
        <v>-6.98148055504739</v>
      </c>
      <c r="S10" s="33">
        <f>VLOOKUP(B10,拍照客户_客户级!$A$2:$BX$27,55,FALSE)</f>
        <v>-1.65265195739996</v>
      </c>
      <c r="T10" s="32">
        <f>VLOOKUP(B10,拍照客户_业务级!$A$9:$KF$30,282,FALSE)</f>
        <v>-0.175470205857984</v>
      </c>
      <c r="U10" s="32">
        <f>VLOOKUP(B10,拍照客户_业务级!$A$9:$KF$30,284,FALSE)</f>
        <v>2.01868787793832</v>
      </c>
      <c r="V10" s="32">
        <f>VLOOKUP(B10,拍照客户_业务级!$A$9:$KF$30,285,FALSE)</f>
        <v>-1.24246509460349</v>
      </c>
      <c r="W10" s="32">
        <f>VLOOKUP(B10,拍照客户_业务级!$A$9:$KF$30,251,FALSE)</f>
        <v>102.266390638289</v>
      </c>
      <c r="X10" s="33">
        <f>VLOOKUP(B10,拍照客户_业务级!$A$9:$KF$30,253,FALSE)</f>
        <v>-0.382863444105297</v>
      </c>
      <c r="Y10" s="33">
        <f>VLOOKUP(B10,拍照客户_业务级!$A$9:$KF$30,252,FALSE)</f>
        <v>1.31092580448553</v>
      </c>
      <c r="Z10" s="32">
        <f>VLOOKUP(B10,拍照客户_业务级!$A$9:$KF$30,204,FALSE)</f>
        <v>104.078634154739</v>
      </c>
      <c r="AA10" s="33">
        <f>VLOOKUP(B10,拍照客户_业务级!$A$9:$KF$30,206,FALSE)</f>
        <v>-0.187066394693947</v>
      </c>
      <c r="AB10" s="33">
        <f>VLOOKUP(B10,拍照客户_业务级!$A$9:$KF$30,205,FALSE)</f>
        <v>1.46252407396195</v>
      </c>
      <c r="AC10" s="33">
        <f>VLOOKUP(B10,拍照客户_业务级!$A$9:$KF$30,78,FALSE)</f>
        <v>95.0001861434794</v>
      </c>
      <c r="AD10" s="33">
        <f>VLOOKUP(B10,拍照客户_业务级!$A$9:$KF$30,80,FALSE)</f>
        <v>-0.682401995458104</v>
      </c>
      <c r="AE10" s="33">
        <f>VLOOKUP(B10,拍照客户_业务级!$A$9:$KF$30,79,FALSE)</f>
        <v>-0.147027928360022</v>
      </c>
      <c r="AF10" s="32">
        <f>VLOOKUP(B10,拍照客户_业务级!$A$9:$KF$30,213,FALSE)</f>
        <v>106.691910626183</v>
      </c>
      <c r="AG10" s="33">
        <f>VLOOKUP(B10,拍照客户_业务级!$A$9:$KF$30,215,FALSE)</f>
        <v>-0.541906299691197</v>
      </c>
      <c r="AH10" s="33">
        <f>VLOOKUP(B10,拍照客户_业务级!$A$9:$KF$30,214,FALSE)</f>
        <v>6.02044966006183</v>
      </c>
      <c r="AI10" s="33">
        <f>VLOOKUP(B10,拍照客户_业务级!$A$9:$KF$30,94,FALSE)</f>
        <v>95.4367073462551</v>
      </c>
      <c r="AJ10" s="33">
        <f>VLOOKUP(B10,拍照客户_业务级!$A$9:$KF$30,96,FALSE)</f>
        <v>-1.09595597032782</v>
      </c>
      <c r="AK10" s="33">
        <f>VLOOKUP(B10,拍照客户_业务级!$A$9:$KF$30,95,FALSE)</f>
        <v>2.72883156327988</v>
      </c>
      <c r="AL10" s="32">
        <f>VLOOKUP(B10,拍照客户_业务级!$A$9:$KF$30,221,FALSE)</f>
        <v>99.115007215618</v>
      </c>
      <c r="AM10" s="33">
        <f>VLOOKUP(B10,拍照客户_业务级!$A$9:$KF$30,223,FALSE)</f>
        <v>-0.183565289673081</v>
      </c>
      <c r="AN10" s="33">
        <f>VLOOKUP(B10,拍照客户_业务级!$A$9:$KF$30,222,FALSE)</f>
        <v>-3.54790194360971</v>
      </c>
      <c r="AO10" s="33">
        <f>VLOOKUP(B10,拍照客户_业务级!$A$9:$KF$30,108,FALSE)</f>
        <v>89.6991404011461</v>
      </c>
      <c r="AP10" s="33">
        <f>VLOOKUP(B10,拍照客户_业务级!$A$9:$KF$30,110,FALSE)</f>
        <v>-2.40544412607451</v>
      </c>
      <c r="AQ10" s="33">
        <f>VLOOKUP(B10,拍照客户_业务级!$A$9:$KF$30,109,FALSE)</f>
        <v>-3.21070717461919</v>
      </c>
      <c r="AR10" s="32">
        <f>VLOOKUP(B10,拍照客户_业务级!$A$9:$KF$30,227,FALSE)</f>
        <v>91.3538563082827</v>
      </c>
      <c r="AS10" s="33">
        <f>VLOOKUP(B10,拍照客户_业务级!$A$9:$KF$30,229,FALSE)</f>
        <v>-0.872705004918112</v>
      </c>
      <c r="AT10" s="33">
        <f>VLOOKUP(B10,拍照客户_业务级!$A$9:$KF$30,228,FALSE)</f>
        <v>-4.43675101598379</v>
      </c>
      <c r="AU10" s="33">
        <f>VLOOKUP(B10,拍照客户_业务级!$A$9:$KF$30,118,FALSE)</f>
        <v>96.4159796410678</v>
      </c>
      <c r="AV10" s="33">
        <f>VLOOKUP(B10,拍照客户_业务级!$A$9:$KF$30,120,FALSE)</f>
        <v>-0.335074092728571</v>
      </c>
      <c r="AW10" s="33">
        <f>VLOOKUP(B10,拍照客户_业务级!$A$9:$KF$30,119,FALSE)</f>
        <v>0.493877693616473</v>
      </c>
      <c r="AX10" s="32">
        <f>VLOOKUP(B10,拍照客户_业务级!$A$9:$KF$30,254,FALSE)</f>
        <v>111.397166163547</v>
      </c>
      <c r="AY10" s="33">
        <f>VLOOKUP(B10,拍照客户_业务级!$A$9:$KF$30,256,FALSE)</f>
        <v>0.364851993478243</v>
      </c>
      <c r="AZ10" s="33">
        <f>VLOOKUP(B10,拍照客户_业务级!$A$9:$KF$30,255,FALSE)</f>
        <v>-11.0446983231537</v>
      </c>
      <c r="BA10" s="32">
        <f>VLOOKUP(B10,拍照客户_业务级!$A$9:$KF$30,233,FALSE)</f>
        <v>111.854077633944</v>
      </c>
      <c r="BB10" s="33">
        <f>VLOOKUP(B10,拍照客户_业务级!$A$9:$KF$30,235,FALSE)</f>
        <v>-0.346673086889959</v>
      </c>
      <c r="BC10" s="33">
        <f>VLOOKUP(B10,拍照客户_业务级!$A$9:$KF$30,234,FALSE)</f>
        <v>4.633988298535</v>
      </c>
      <c r="BD10" s="33">
        <f>VLOOKUP(B10,拍照客户_业务级!$A$9:$KF$30,123,FALSE)</f>
        <v>101.680672268908</v>
      </c>
      <c r="BE10" s="33">
        <f>VLOOKUP(B10,拍照客户_业务级!$A$9:$KF$30,125,FALSE)</f>
        <v>-2.34593837535015</v>
      </c>
      <c r="BF10" s="33">
        <f>VLOOKUP(B10,拍照客户_业务级!$A$9:$KF$30,124,FALSE)</f>
        <v>-4.68608335442451</v>
      </c>
      <c r="BG10" s="32">
        <f>VLOOKUP(B10,拍照客户_业务级!$A$9:$KF$30,239,FALSE)</f>
        <v>111.03565478494</v>
      </c>
      <c r="BH10" s="33">
        <f>VLOOKUP(B10,拍照客户_业务级!$A$9:$KF$30,241,FALSE)</f>
        <v>0.927815344985916</v>
      </c>
      <c r="BI10" s="33">
        <f>VLOOKUP(B10,拍照客户_业务级!$A$9:$KF$30,240,FALSE)</f>
        <v>-26.2772271360123</v>
      </c>
      <c r="BJ10" s="33">
        <f>VLOOKUP(B10,拍照客户_业务级!$A$9:$KF$30,128,FALSE)</f>
        <v>103.457196613358</v>
      </c>
      <c r="BK10" s="33">
        <f>VLOOKUP(B10,拍照客户_业务级!$A$9:$KF$30,130,FALSE)</f>
        <v>0.432737535277505</v>
      </c>
      <c r="BL10" s="33">
        <f>VLOOKUP(B10,拍照客户_业务级!$A$9:$KF$30,129,FALSE)</f>
        <v>7.48473029818559</v>
      </c>
      <c r="BM10" s="32">
        <f>VLOOKUP(B10,拍照客户_业务级!$A$9:$KF$30,245,FALSE)</f>
        <v>89.3150635933499</v>
      </c>
      <c r="BN10" s="32">
        <f>VLOOKUP(B10,拍照客户_业务级!$A$9:$KF$30,247,FALSE)</f>
        <v>-0.666213704697238</v>
      </c>
      <c r="BO10" s="32">
        <f>VLOOKUP(B10,拍照客户_业务级!$A$9:$KF$30,246,FALSE)</f>
        <v>-27.8495007129104</v>
      </c>
    </row>
    <row r="11" ht="14.25" spans="1:67">
      <c r="A11" s="45"/>
      <c r="B11" s="46" t="s">
        <v>53</v>
      </c>
      <c r="C11" s="47">
        <f>ROUND(VLOOKUP(B11,拍照客户_客户级!$A$2:$BX$27,28,FALSE)/10000,3)</f>
        <v>-3369.134</v>
      </c>
      <c r="D11" s="20">
        <f>ROUND(VLOOKUP(B11,拍照客户_客户级!$A$2:$BX$27,29,FALSE)/10000,3)</f>
        <v>1914.066</v>
      </c>
      <c r="E11" s="20">
        <f>ROUND(VLOOKUP(B11,拍照客户_客户级!$A$2:$BX$27,30,FALSE)/10000,3)</f>
        <v>-5087.246</v>
      </c>
      <c r="F11" s="20">
        <f>ROUND(VLOOKUP(B11,拍照客户_客户级!$A$2:$BX$27,33,FALSE)/10000,3)</f>
        <v>-286.324</v>
      </c>
      <c r="G11" s="20">
        <f>ROUND(VLOOKUP(B11,拍照客户_客户级!$A$2:$BX$27,31,FALSE)/10000,3)</f>
        <v>108.923</v>
      </c>
      <c r="H11" s="20">
        <f>ROUND(VLOOKUP(B11,拍照客户_客户级!$A$2:$BX$27,32,FALSE)/10000,3)</f>
        <v>-18.554</v>
      </c>
      <c r="I11" s="48">
        <f>VLOOKUP(B11,拍照客户_客户级!$A$2:$BX$27,13,FALSE)</f>
        <v>95.4683743432964</v>
      </c>
      <c r="J11" s="48">
        <f>VLOOKUP(B11,拍照客户_客户级!$A$2:$BX$27,15,FALSE)</f>
        <v>-0.560238639399246</v>
      </c>
      <c r="K11" s="48">
        <f>VLOOKUP(B11,拍照客户_客户级!$A$2:$BX$27,14,FALSE)</f>
        <v>-0.0995204259722549</v>
      </c>
      <c r="L11" s="48">
        <f>VLOOKUP(B11,拍照客户_客户级!$A$2:$BX$27,34,FALSE)</f>
        <v>87.833757696121</v>
      </c>
      <c r="M11" s="48">
        <f>VLOOKUP(B11,拍照客户_客户级!$A$2:$BX$27,36,FALSE)</f>
        <v>-0.449602020216155</v>
      </c>
      <c r="N11" s="48">
        <f>VLOOKUP(B11,拍照客户_客户级!$A$2:$BX$27,35,FALSE)</f>
        <v>-17.969862655644</v>
      </c>
      <c r="O11" s="39">
        <f>VLOOKUP(B11,拍照客户_客户级!$A$2:$BX$27,49,FALSE)</f>
        <v>-12.7685065732905</v>
      </c>
      <c r="P11" s="39">
        <f>VLOOKUP(B11,拍照客户_客户级!$A$2:$BX$27,50,FALSE)</f>
        <v>-11.663613463142</v>
      </c>
      <c r="Q11" s="39">
        <f>VLOOKUP(B11,拍照客户_客户级!$A$2:$BX$27,51,FALSE)</f>
        <v>6.76393472455703</v>
      </c>
      <c r="R11" s="39">
        <f>VLOOKUP(B11,拍照客户_客户级!$A$2:$BX$27,52,FALSE)</f>
        <v>-18.4292447703258</v>
      </c>
      <c r="S11" s="39">
        <f>VLOOKUP(B11,拍照客户_客户级!$A$2:$BX$27,55,FALSE)</f>
        <v>-1.10489311014846</v>
      </c>
      <c r="T11" s="48">
        <f>VLOOKUP(B11,拍照客户_业务级!$A$9:$KF$30,282,FALSE)</f>
        <v>-1.85860942286147</v>
      </c>
      <c r="U11" s="48">
        <f>VLOOKUP(B11,拍照客户_业务级!$A$9:$KF$30,284,FALSE)</f>
        <v>-7.56599975753978</v>
      </c>
      <c r="V11" s="48">
        <f>VLOOKUP(B11,拍照客户_业务级!$A$9:$KF$30,285,FALSE)</f>
        <v>-4.16323523177627</v>
      </c>
      <c r="W11" s="48">
        <f>VLOOKUP(B11,拍照客户_业务级!$A$9:$KF$30,251,FALSE)</f>
        <v>96.7443104048874</v>
      </c>
      <c r="X11" s="39">
        <f>VLOOKUP(B11,拍照客户_业务级!$A$9:$KF$30,253,FALSE)</f>
        <v>-0.476317659918235</v>
      </c>
      <c r="Y11" s="39">
        <f>VLOOKUP(B11,拍照客户_业务级!$A$9:$KF$30,252,FALSE)</f>
        <v>-2.65235848212662</v>
      </c>
      <c r="Z11" s="48">
        <f>VLOOKUP(B11,拍照客户_业务级!$A$9:$KF$30,204,FALSE)</f>
        <v>99.6769530497574</v>
      </c>
      <c r="AA11" s="39">
        <f>VLOOKUP(B11,拍照客户_业务级!$A$9:$KF$30,206,FALSE)</f>
        <v>-0.401465521768785</v>
      </c>
      <c r="AB11" s="39">
        <f>VLOOKUP(B11,拍照客户_业务级!$A$9:$KF$30,205,FALSE)</f>
        <v>-2.95969524368096</v>
      </c>
      <c r="AC11" s="39">
        <f>VLOOKUP(B11,拍照客户_业务级!$A$9:$KF$30,78,FALSE)</f>
        <v>93.8341719140731</v>
      </c>
      <c r="AD11" s="39">
        <f>VLOOKUP(B11,拍照客户_业务级!$A$9:$KF$30,80,FALSE)</f>
        <v>-0.655298122985148</v>
      </c>
      <c r="AE11" s="39">
        <f>VLOOKUP(B11,拍照客户_业务级!$A$9:$KF$30,79,FALSE)</f>
        <v>0.102091514175173</v>
      </c>
      <c r="AF11" s="48">
        <f>VLOOKUP(B11,拍照客户_业务级!$A$9:$KF$30,213,FALSE)</f>
        <v>102.080648657412</v>
      </c>
      <c r="AG11" s="39">
        <f>VLOOKUP(B11,拍照客户_业务级!$A$9:$KF$30,215,FALSE)</f>
        <v>-0.375077256136058</v>
      </c>
      <c r="AH11" s="39">
        <f>VLOOKUP(B11,拍照客户_业务级!$A$9:$KF$30,214,FALSE)</f>
        <v>0.377091866964207</v>
      </c>
      <c r="AI11" s="39">
        <f>VLOOKUP(B11,拍照客户_业务级!$A$9:$KF$30,94,FALSE)</f>
        <v>98.3794077175409</v>
      </c>
      <c r="AJ11" s="39">
        <f>VLOOKUP(B11,拍照客户_业务级!$A$9:$KF$30,96,FALSE)</f>
        <v>-0.586934830669295</v>
      </c>
      <c r="AK11" s="39">
        <f>VLOOKUP(B11,拍照客户_业务级!$A$9:$KF$30,95,FALSE)</f>
        <v>1.72509319526393</v>
      </c>
      <c r="AL11" s="48">
        <f>VLOOKUP(B11,拍照客户_业务级!$A$9:$KF$30,221,FALSE)</f>
        <v>100.951469569964</v>
      </c>
      <c r="AM11" s="39">
        <f>VLOOKUP(B11,拍照客户_业务级!$A$9:$KF$30,223,FALSE)</f>
        <v>-0.439613063656634</v>
      </c>
      <c r="AN11" s="39">
        <f>VLOOKUP(B11,拍照客户_业务级!$A$9:$KF$30,222,FALSE)</f>
        <v>-13.9052434906846</v>
      </c>
      <c r="AO11" s="39">
        <f>VLOOKUP(B11,拍照客户_业务级!$A$9:$KF$30,108,FALSE)</f>
        <v>95.3985636759497</v>
      </c>
      <c r="AP11" s="39">
        <f>VLOOKUP(B11,拍照客户_业务级!$A$9:$KF$30,110,FALSE)</f>
        <v>-0.987878984824353</v>
      </c>
      <c r="AQ11" s="39">
        <f>VLOOKUP(B11,拍照客户_业务级!$A$9:$KF$30,109,FALSE)</f>
        <v>-0.0683283382954869</v>
      </c>
      <c r="AR11" s="48">
        <f>VLOOKUP(B11,拍照客户_业务级!$A$9:$KF$30,227,FALSE)</f>
        <v>90.1275183043068</v>
      </c>
      <c r="AS11" s="39">
        <f>VLOOKUP(B11,拍照客户_业务级!$A$9:$KF$30,229,FALSE)</f>
        <v>-0.626313049684546</v>
      </c>
      <c r="AT11" s="39">
        <f>VLOOKUP(B11,拍照客户_业务级!$A$9:$KF$30,228,FALSE)</f>
        <v>-3.62234622508129</v>
      </c>
      <c r="AU11" s="39">
        <f>VLOOKUP(B11,拍照客户_业务级!$A$9:$KF$30,118,FALSE)</f>
        <v>96.6164030893711</v>
      </c>
      <c r="AV11" s="39">
        <f>VLOOKUP(B11,拍照客户_业务级!$A$9:$KF$30,120,FALSE)</f>
        <v>-0.368405632679014</v>
      </c>
      <c r="AW11" s="39">
        <f>VLOOKUP(B11,拍照客户_业务级!$A$9:$KF$30,119,FALSE)</f>
        <v>0.806140677651934</v>
      </c>
      <c r="AX11" s="48">
        <f>VLOOKUP(B11,拍照客户_业务级!$A$9:$KF$30,254,FALSE)</f>
        <v>84.4646228468756</v>
      </c>
      <c r="AY11" s="39">
        <f>VLOOKUP(B11,拍照客户_业务级!$A$9:$KF$30,256,FALSE)</f>
        <v>-0.293989415181156</v>
      </c>
      <c r="AZ11" s="39">
        <f>VLOOKUP(B11,拍照客户_业务级!$A$9:$KF$30,255,FALSE)</f>
        <v>-21.5944514146415</v>
      </c>
      <c r="BA11" s="48">
        <f>VLOOKUP(B11,拍照客户_业务级!$A$9:$KF$30,233,FALSE)</f>
        <v>96.6250816148784</v>
      </c>
      <c r="BB11" s="39">
        <f>VLOOKUP(B11,拍照客户_业务级!$A$9:$KF$30,235,FALSE)</f>
        <v>-0.591004772178061</v>
      </c>
      <c r="BC11" s="39">
        <f>VLOOKUP(B11,拍照客户_业务级!$A$9:$KF$30,234,FALSE)</f>
        <v>-3.48673882215047</v>
      </c>
      <c r="BD11" s="39">
        <f>VLOOKUP(B11,拍照客户_业务级!$A$9:$KF$30,123,FALSE)</f>
        <v>95.5693742712787</v>
      </c>
      <c r="BE11" s="39">
        <f>VLOOKUP(B11,拍照客户_业务级!$A$9:$KF$30,125,FALSE)</f>
        <v>-0.738437621453558</v>
      </c>
      <c r="BF11" s="39">
        <f>VLOOKUP(B11,拍照客户_业务级!$A$9:$KF$30,124,FALSE)</f>
        <v>2.08631094285451</v>
      </c>
      <c r="BG11" s="48">
        <f>VLOOKUP(B11,拍照客户_业务级!$A$9:$KF$30,239,FALSE)</f>
        <v>77.5670869054553</v>
      </c>
      <c r="BH11" s="39">
        <f>VLOOKUP(B11,拍照客户_业务级!$A$9:$KF$30,241,FALSE)</f>
        <v>-0.12551928267015</v>
      </c>
      <c r="BI11" s="39">
        <f>VLOOKUP(B11,拍照客户_业务级!$A$9:$KF$30,240,FALSE)</f>
        <v>-32.3574551183511</v>
      </c>
      <c r="BJ11" s="39">
        <f>VLOOKUP(B11,拍照客户_业务级!$A$9:$KF$30,128,FALSE)</f>
        <v>100.680889695869</v>
      </c>
      <c r="BK11" s="39">
        <f>VLOOKUP(B11,拍照客户_业务级!$A$9:$KF$30,130,FALSE)</f>
        <v>-0.71802913382577</v>
      </c>
      <c r="BL11" s="39">
        <f>VLOOKUP(B11,拍照客户_业务级!$A$9:$KF$30,129,FALSE)</f>
        <v>-1.75556029973281</v>
      </c>
      <c r="BM11" s="48">
        <f>VLOOKUP(B11,拍照客户_业务级!$A$9:$KF$30,245,FALSE)</f>
        <v>71.6578012394967</v>
      </c>
      <c r="BN11" s="48">
        <f>VLOOKUP(B11,拍照客户_业务级!$A$9:$KF$30,247,FALSE)</f>
        <v>-0.997472541615607</v>
      </c>
      <c r="BO11" s="48">
        <f>VLOOKUP(B11,拍照客户_业务级!$A$9:$KF$30,246,FALSE)</f>
        <v>-67.3040431658615</v>
      </c>
    </row>
    <row r="12" ht="13.5" spans="1:67">
      <c r="A12" s="49" t="s">
        <v>54</v>
      </c>
      <c r="B12" s="23" t="s">
        <v>55</v>
      </c>
      <c r="C12" s="24">
        <f>ROUND(VLOOKUP(B12,拍照客户_客户级!$A$2:$BX$27,28,FALSE)/10000,3)</f>
        <v>1893.288</v>
      </c>
      <c r="D12" s="25">
        <f>ROUND(VLOOKUP(B12,拍照客户_客户级!$A$2:$BX$27,29,FALSE)/10000,3)</f>
        <v>3158.542</v>
      </c>
      <c r="E12" s="25">
        <f>ROUND(VLOOKUP(B12,拍照客户_客户级!$A$2:$BX$27,30,FALSE)/10000,3)</f>
        <v>-1128.746</v>
      </c>
      <c r="F12" s="25">
        <f>ROUND(VLOOKUP(B12,拍照客户_客户级!$A$2:$BX$27,33,FALSE)/10000,3)</f>
        <v>-202.366</v>
      </c>
      <c r="G12" s="25">
        <f>ROUND(VLOOKUP(B12,拍照客户_客户级!$A$2:$BX$27,31,FALSE)/10000,3)</f>
        <v>76.521</v>
      </c>
      <c r="H12" s="25">
        <f>ROUND(VLOOKUP(B12,拍照客户_客户级!$A$2:$BX$27,32,FALSE)/10000,3)</f>
        <v>-10.663</v>
      </c>
      <c r="I12" s="26">
        <f>VLOOKUP(B12,拍照客户_客户级!$A$2:$BX$27,13,FALSE)</f>
        <v>89.4906795831499</v>
      </c>
      <c r="J12" s="26">
        <f>VLOOKUP(B12,拍照客户_客户级!$A$2:$BX$27,15,FALSE)</f>
        <v>-1.74502992644781</v>
      </c>
      <c r="K12" s="26">
        <f>VLOOKUP(B12,拍照客户_客户级!$A$2:$BX$27,14,FALSE)</f>
        <v>1.00393867377928</v>
      </c>
      <c r="L12" s="26">
        <f>VLOOKUP(B12,拍照客户_客户级!$A$2:$BX$27,34,FALSE)</f>
        <v>113.638045096679</v>
      </c>
      <c r="M12" s="26">
        <f>VLOOKUP(B12,拍照客户_客户级!$A$2:$BX$27,36,FALSE)</f>
        <v>-2.58744149834731</v>
      </c>
      <c r="N12" s="26">
        <f>VLOOKUP(B12,拍照客户_客户级!$A$2:$BX$27,35,FALSE)</f>
        <v>14.5852340239789</v>
      </c>
      <c r="O12" s="27">
        <f>VLOOKUP(B12,拍照客户_客户级!$A$2:$BX$27,49,FALSE)</f>
        <v>12.2298348200665</v>
      </c>
      <c r="P12" s="27">
        <f>VLOOKUP(B12,拍照客户_客户级!$A$2:$BX$27,50,FALSE)</f>
        <v>13.966464761553</v>
      </c>
      <c r="Q12" s="27">
        <f>VLOOKUP(B12,拍照客户_客户级!$A$2:$BX$27,51,FALSE)</f>
        <v>22.3558757642352</v>
      </c>
      <c r="R12" s="27">
        <f>VLOOKUP(B12,拍照客户_客户级!$A$2:$BX$27,52,FALSE)</f>
        <v>-8.43400920435545</v>
      </c>
      <c r="S12" s="27">
        <f>VLOOKUP(B12,拍照客户_客户级!$A$2:$BX$27,55,FALSE)</f>
        <v>-1.7366299414865</v>
      </c>
      <c r="T12" s="26">
        <f>VLOOKUP(B12,拍照客户_业务级!$A$9:$KF$30,282,FALSE)</f>
        <v>-1.82250542132155</v>
      </c>
      <c r="U12" s="26">
        <f>VLOOKUP(B12,拍照客户_业务级!$A$9:$KF$30,284,FALSE)</f>
        <v>12.6864730283555</v>
      </c>
      <c r="V12" s="26">
        <f>VLOOKUP(B12,拍照客户_业务级!$A$9:$KF$30,285,FALSE)</f>
        <v>0.0781942744277695</v>
      </c>
      <c r="W12" s="26">
        <f>VLOOKUP(B12,拍照客户_业务级!$A$9:$KF$30,251,FALSE)</f>
        <v>98.892078965371</v>
      </c>
      <c r="X12" s="27">
        <f>VLOOKUP(B12,拍照客户_业务级!$A$9:$KF$30,253,FALSE)</f>
        <v>-0.169276106857086</v>
      </c>
      <c r="Y12" s="27">
        <f>VLOOKUP(B12,拍照客户_业务级!$A$9:$KF$30,252,FALSE)</f>
        <v>-0.333914854587736</v>
      </c>
      <c r="Z12" s="26">
        <f>VLOOKUP(B12,拍照客户_业务级!$A$9:$KF$30,204,FALSE)</f>
        <v>101.838639106608</v>
      </c>
      <c r="AA12" s="27">
        <f>VLOOKUP(B12,拍照客户_业务级!$A$9:$KF$30,206,FALSE)</f>
        <v>0.142931860045237</v>
      </c>
      <c r="AB12" s="27">
        <f>VLOOKUP(B12,拍照客户_业务级!$A$9:$KF$30,205,FALSE)</f>
        <v>-0.85681748350821</v>
      </c>
      <c r="AC12" s="27">
        <f>VLOOKUP(B12,拍照客户_业务级!$A$9:$KF$30,78,FALSE)</f>
        <v>95.4806718208478</v>
      </c>
      <c r="AD12" s="27">
        <f>VLOOKUP(B12,拍照客户_业务级!$A$9:$KF$30,80,FALSE)</f>
        <v>-0.285790455878432</v>
      </c>
      <c r="AE12" s="27">
        <f>VLOOKUP(B12,拍照客户_业务级!$A$9:$KF$30,79,FALSE)</f>
        <v>4.53672234526414</v>
      </c>
      <c r="AF12" s="26">
        <f>VLOOKUP(B12,拍照客户_业务级!$A$9:$KF$30,213,FALSE)</f>
        <v>99.4189250181684</v>
      </c>
      <c r="AG12" s="27">
        <f>VLOOKUP(B12,拍照客户_业务级!$A$9:$KF$30,215,FALSE)</f>
        <v>-0.31559999533406</v>
      </c>
      <c r="AH12" s="27">
        <f>VLOOKUP(B12,拍照客户_业务级!$A$9:$KF$30,214,FALSE)</f>
        <v>-0.111241170169718</v>
      </c>
      <c r="AI12" s="27">
        <f>VLOOKUP(B12,拍照客户_业务级!$A$9:$KF$30,94,FALSE)</f>
        <v>93.9391388526453</v>
      </c>
      <c r="AJ12" s="27">
        <f>VLOOKUP(B12,拍照客户_业务级!$A$9:$KF$30,96,FALSE)</f>
        <v>-2.07921208805085</v>
      </c>
      <c r="AK12" s="27">
        <f>VLOOKUP(B12,拍照客户_业务级!$A$9:$KF$30,95,FALSE)</f>
        <v>-1.91741746764348</v>
      </c>
      <c r="AL12" s="26">
        <f>VLOOKUP(B12,拍照客户_业务级!$A$9:$KF$30,221,FALSE)</f>
        <v>97.5556729166729</v>
      </c>
      <c r="AM12" s="27">
        <f>VLOOKUP(B12,拍照客户_业务级!$A$9:$KF$30,223,FALSE)</f>
        <v>-0.292782941784653</v>
      </c>
      <c r="AN12" s="27">
        <f>VLOOKUP(B12,拍照客户_业务级!$A$9:$KF$30,222,FALSE)</f>
        <v>-10.1937124911028</v>
      </c>
      <c r="AO12" s="27">
        <f>VLOOKUP(B12,拍照客户_业务级!$A$9:$KF$30,108,FALSE)</f>
        <v>87.9443737146215</v>
      </c>
      <c r="AP12" s="27">
        <f>VLOOKUP(B12,拍照客户_业务级!$A$9:$KF$30,110,FALSE)</f>
        <v>-1.47226846864493</v>
      </c>
      <c r="AQ12" s="27">
        <f>VLOOKUP(B12,拍照客户_业务级!$A$9:$KF$30,109,FALSE)</f>
        <v>-7.543517258091</v>
      </c>
      <c r="AR12" s="26">
        <f>VLOOKUP(B12,拍照客户_业务级!$A$9:$KF$30,227,FALSE)</f>
        <v>92.7028283731151</v>
      </c>
      <c r="AS12" s="27">
        <f>VLOOKUP(B12,拍照客户_业务级!$A$9:$KF$30,229,FALSE)</f>
        <v>-0.664942498231748</v>
      </c>
      <c r="AT12" s="27">
        <f>VLOOKUP(B12,拍照客户_业务级!$A$9:$KF$30,228,FALSE)</f>
        <v>0.618926491932562</v>
      </c>
      <c r="AU12" s="27">
        <f>VLOOKUP(B12,拍照客户_业务级!$A$9:$KF$30,118,FALSE)</f>
        <v>95.3747375133305</v>
      </c>
      <c r="AV12" s="27">
        <f>VLOOKUP(B12,拍照客户_业务级!$A$9:$KF$30,120,FALSE)</f>
        <v>-0.626669745044361</v>
      </c>
      <c r="AW12" s="27">
        <f>VLOOKUP(B12,拍照客户_业务级!$A$9:$KF$30,119,FALSE)</f>
        <v>-0.199955001966501</v>
      </c>
      <c r="AX12" s="26">
        <f>VLOOKUP(B12,拍照客户_业务级!$A$9:$KF$30,254,FALSE)</f>
        <v>139.466259295064</v>
      </c>
      <c r="AY12" s="27">
        <f>VLOOKUP(B12,拍照客户_业务级!$A$9:$KF$30,256,FALSE)</f>
        <v>-7.04223383459775</v>
      </c>
      <c r="AZ12" s="27">
        <f>VLOOKUP(B12,拍照客户_业务级!$A$9:$KF$30,255,FALSE)</f>
        <v>35.7840178056292</v>
      </c>
      <c r="BA12" s="26">
        <f>VLOOKUP(B12,拍照客户_业务级!$A$9:$KF$30,233,FALSE)</f>
        <v>108.552644863248</v>
      </c>
      <c r="BB12" s="27">
        <f>VLOOKUP(B12,拍照客户_业务级!$A$9:$KF$30,235,FALSE)</f>
        <v>-1.36260951963738</v>
      </c>
      <c r="BC12" s="27">
        <f>VLOOKUP(B12,拍照客户_业务级!$A$9:$KF$30,234,FALSE)</f>
        <v>10.1353741100532</v>
      </c>
      <c r="BD12" s="27">
        <f>VLOOKUP(B12,拍照客户_业务级!$A$9:$KF$30,123,FALSE)</f>
        <v>98.1187536743092</v>
      </c>
      <c r="BE12" s="27">
        <f>VLOOKUP(B12,拍照客户_业务级!$A$9:$KF$30,125,FALSE)</f>
        <v>0.352733686067019</v>
      </c>
      <c r="BF12" s="27">
        <f>VLOOKUP(B12,拍照客户_业务级!$A$9:$KF$30,124,FALSE)</f>
        <v>-1.1101905724286</v>
      </c>
      <c r="BG12" s="26">
        <f>VLOOKUP(B12,拍照客户_业务级!$A$9:$KF$30,239,FALSE)</f>
        <v>158.907190415858</v>
      </c>
      <c r="BH12" s="27">
        <f>VLOOKUP(B12,拍照客户_业务级!$A$9:$KF$30,241,FALSE)</f>
        <v>-10.614031798976</v>
      </c>
      <c r="BI12" s="27">
        <f>VLOOKUP(B12,拍照客户_业务级!$A$9:$KF$30,240,FALSE)</f>
        <v>51.5397411276932</v>
      </c>
      <c r="BJ12" s="27">
        <f>VLOOKUP(B12,拍照客户_业务级!$A$9:$KF$30,128,FALSE)</f>
        <v>98.3175057456312</v>
      </c>
      <c r="BK12" s="27">
        <f>VLOOKUP(B12,拍照客户_业务级!$A$9:$KF$30,130,FALSE)</f>
        <v>1.71718485755171</v>
      </c>
      <c r="BL12" s="27">
        <f>VLOOKUP(B12,拍照客户_业务级!$A$9:$KF$30,129,FALSE)</f>
        <v>-0.596487513637356</v>
      </c>
      <c r="BM12" s="26">
        <f>VLOOKUP(B12,拍照客户_业务级!$A$9:$KF$30,245,FALSE)</f>
        <v>116.187365361815</v>
      </c>
      <c r="BN12" s="26">
        <f>VLOOKUP(B12,拍照客户_业务级!$A$9:$KF$30,247,FALSE)</f>
        <v>-2.17039500275356</v>
      </c>
      <c r="BO12" s="26">
        <f>VLOOKUP(B12,拍照客户_业务级!$A$9:$KF$30,246,FALSE)</f>
        <v>34.1040238065885</v>
      </c>
    </row>
    <row r="13" ht="13.5" spans="1:67">
      <c r="A13" s="50"/>
      <c r="B13" s="29" t="s">
        <v>56</v>
      </c>
      <c r="C13" s="30">
        <f>ROUND(VLOOKUP(B13,拍照客户_客户级!$A$2:$BX$27,28,FALSE)/10000,3)</f>
        <v>803.687</v>
      </c>
      <c r="D13" s="31">
        <f>ROUND(VLOOKUP(B13,拍照客户_客户级!$A$2:$BX$27,29,FALSE)/10000,3)</f>
        <v>1930.255</v>
      </c>
      <c r="E13" s="31">
        <f>ROUND(VLOOKUP(B13,拍照客户_客户级!$A$2:$BX$27,30,FALSE)/10000,3)</f>
        <v>-947.653</v>
      </c>
      <c r="F13" s="31">
        <f>ROUND(VLOOKUP(B13,拍照客户_客户级!$A$2:$BX$27,33,FALSE)/10000,3)</f>
        <v>-247.6</v>
      </c>
      <c r="G13" s="31">
        <f>ROUND(VLOOKUP(B13,拍照客户_客户级!$A$2:$BX$27,31,FALSE)/10000,3)</f>
        <v>100.415</v>
      </c>
      <c r="H13" s="31">
        <f>ROUND(VLOOKUP(B13,拍照客户_客户级!$A$2:$BX$27,32,FALSE)/10000,3)</f>
        <v>-31.731</v>
      </c>
      <c r="I13" s="32">
        <f>VLOOKUP(B13,拍照客户_客户级!$A$2:$BX$27,13,FALSE)</f>
        <v>93.5150741213703</v>
      </c>
      <c r="J13" s="32">
        <f>VLOOKUP(B13,拍照客户_客户级!$A$2:$BX$27,15,FALSE)</f>
        <v>-0.939425906390534</v>
      </c>
      <c r="K13" s="32">
        <f>VLOOKUP(B13,拍照客户_客户级!$A$2:$BX$27,14,FALSE)</f>
        <v>-0.247780314421098</v>
      </c>
      <c r="L13" s="32">
        <f>VLOOKUP(B13,拍照客户_客户级!$A$2:$BX$27,34,FALSE)</f>
        <v>107.971335058577</v>
      </c>
      <c r="M13" s="32">
        <f>VLOOKUP(B13,拍照客户_客户级!$A$2:$BX$27,36,FALSE)</f>
        <v>-2.01983124382393</v>
      </c>
      <c r="N13" s="32">
        <f>VLOOKUP(B13,拍照客户_客户级!$A$2:$BX$27,35,FALSE)</f>
        <v>-0.0808061976221865</v>
      </c>
      <c r="O13" s="33">
        <f>VLOOKUP(B13,拍照客户_客户级!$A$2:$BX$27,49,FALSE)</f>
        <v>5.06068141781191</v>
      </c>
      <c r="P13" s="33">
        <f>VLOOKUP(B13,拍照客户_客户级!$A$2:$BX$27,50,FALSE)</f>
        <v>7.7971330121243</v>
      </c>
      <c r="Q13" s="33">
        <f>VLOOKUP(B13,拍照客户_客户级!$A$2:$BX$27,51,FALSE)</f>
        <v>18.4498925154844</v>
      </c>
      <c r="R13" s="33">
        <f>VLOOKUP(B13,拍照客户_客户级!$A$2:$BX$27,52,FALSE)</f>
        <v>-10.8208799001916</v>
      </c>
      <c r="S13" s="33">
        <f>VLOOKUP(B13,拍照客户_客户级!$A$2:$BX$27,55,FALSE)</f>
        <v>-2.73645159431235</v>
      </c>
      <c r="T13" s="32">
        <f>VLOOKUP(B13,拍照客户_业务级!$A$9:$KF$30,282,FALSE)</f>
        <v>0.178310977136285</v>
      </c>
      <c r="U13" s="32">
        <f>VLOOKUP(B13,拍照客户_业务级!$A$9:$KF$30,284,FALSE)</f>
        <v>5.38618801467878</v>
      </c>
      <c r="V13" s="32">
        <f>VLOOKUP(B13,拍照客户_业务级!$A$9:$KF$30,285,FALSE)</f>
        <v>-3.520211013791</v>
      </c>
      <c r="W13" s="32">
        <f>VLOOKUP(B13,拍照客户_业务级!$A$9:$KF$30,251,FALSE)</f>
        <v>102.369271300377</v>
      </c>
      <c r="X13" s="33">
        <f>VLOOKUP(B13,拍照客户_业务级!$A$9:$KF$30,253,FALSE)</f>
        <v>-0.371093568377368</v>
      </c>
      <c r="Y13" s="33">
        <f>VLOOKUP(B13,拍照客户_业务级!$A$9:$KF$30,252,FALSE)</f>
        <v>-1.39703595796731</v>
      </c>
      <c r="Z13" s="32">
        <f>VLOOKUP(B13,拍照客户_业务级!$A$9:$KF$30,204,FALSE)</f>
        <v>103.898127970968</v>
      </c>
      <c r="AA13" s="33">
        <f>VLOOKUP(B13,拍照客户_业务级!$A$9:$KF$30,206,FALSE)</f>
        <v>-0.437440293468261</v>
      </c>
      <c r="AB13" s="33">
        <f>VLOOKUP(B13,拍照客户_业务级!$A$9:$KF$30,205,FALSE)</f>
        <v>2.92665368128715</v>
      </c>
      <c r="AC13" s="33">
        <f>VLOOKUP(B13,拍照客户_业务级!$A$9:$KF$30,78,FALSE)</f>
        <v>96.4565752586415</v>
      </c>
      <c r="AD13" s="33">
        <f>VLOOKUP(B13,拍照客户_业务级!$A$9:$KF$30,80,FALSE)</f>
        <v>-0.672396863571034</v>
      </c>
      <c r="AE13" s="33">
        <f>VLOOKUP(B13,拍照客户_业务级!$A$9:$KF$30,79,FALSE)</f>
        <v>1.30234864320218</v>
      </c>
      <c r="AF13" s="32">
        <f>VLOOKUP(B13,拍照客户_业务级!$A$9:$KF$30,213,FALSE)</f>
        <v>105.801749825697</v>
      </c>
      <c r="AG13" s="33">
        <f>VLOOKUP(B13,拍照客户_业务级!$A$9:$KF$30,215,FALSE)</f>
        <v>-0.329810156556753</v>
      </c>
      <c r="AH13" s="33">
        <f>VLOOKUP(B13,拍照客户_业务级!$A$9:$KF$30,214,FALSE)</f>
        <v>3.38804506643642</v>
      </c>
      <c r="AI13" s="33">
        <f>VLOOKUP(B13,拍照客户_业务级!$A$9:$KF$30,94,FALSE)</f>
        <v>93.2131165529728</v>
      </c>
      <c r="AJ13" s="33">
        <f>VLOOKUP(B13,拍照客户_业务级!$A$9:$KF$30,96,FALSE)</f>
        <v>-2.32630443131732</v>
      </c>
      <c r="AK13" s="33">
        <f>VLOOKUP(B13,拍照客户_业务级!$A$9:$KF$30,95,FALSE)</f>
        <v>-3.20770774203803</v>
      </c>
      <c r="AL13" s="32">
        <f>VLOOKUP(B13,拍照客户_业务级!$A$9:$KF$30,221,FALSE)</f>
        <v>96.8777946973275</v>
      </c>
      <c r="AM13" s="33">
        <f>VLOOKUP(B13,拍照客户_业务级!$A$9:$KF$30,223,FALSE)</f>
        <v>0.130053258298657</v>
      </c>
      <c r="AN13" s="33">
        <f>VLOOKUP(B13,拍照客户_业务级!$A$9:$KF$30,222,FALSE)</f>
        <v>-7.89727534359227</v>
      </c>
      <c r="AO13" s="33">
        <f>VLOOKUP(B13,拍照客户_业务级!$A$9:$KF$30,108,FALSE)</f>
        <v>82.8487161693268</v>
      </c>
      <c r="AP13" s="33">
        <f>VLOOKUP(B13,拍照客户_业务级!$A$9:$KF$30,110,FALSE)</f>
        <v>-5.50312283136711</v>
      </c>
      <c r="AQ13" s="33">
        <f>VLOOKUP(B13,拍照客户_业务级!$A$9:$KF$30,109,FALSE)</f>
        <v>-13.7826699491344</v>
      </c>
      <c r="AR13" s="32">
        <f>VLOOKUP(B13,拍照客户_业务级!$A$9:$KF$30,227,FALSE)</f>
        <v>92.4753825685542</v>
      </c>
      <c r="AS13" s="33">
        <f>VLOOKUP(B13,拍照客户_业务级!$A$9:$KF$30,229,FALSE)</f>
        <v>-0.254010700504292</v>
      </c>
      <c r="AT13" s="33">
        <f>VLOOKUP(B13,拍照客户_业务级!$A$9:$KF$30,228,FALSE)</f>
        <v>-26.4340865993633</v>
      </c>
      <c r="AU13" s="33">
        <f>VLOOKUP(B13,拍照客户_业务级!$A$9:$KF$30,118,FALSE)</f>
        <v>94.7056332062685</v>
      </c>
      <c r="AV13" s="33">
        <f>VLOOKUP(B13,拍照客户_业务级!$A$9:$KF$30,120,FALSE)</f>
        <v>-1.90395514410762</v>
      </c>
      <c r="AW13" s="33">
        <f>VLOOKUP(B13,拍照客户_业务级!$A$9:$KF$30,119,FALSE)</f>
        <v>-1.28289444478726</v>
      </c>
      <c r="AX13" s="32">
        <f>VLOOKUP(B13,拍照客户_业务级!$A$9:$KF$30,254,FALSE)</f>
        <v>119.488220973376</v>
      </c>
      <c r="AY13" s="33">
        <f>VLOOKUP(B13,拍照客户_业务级!$A$9:$KF$30,256,FALSE)</f>
        <v>-4.66532369158559</v>
      </c>
      <c r="AZ13" s="33">
        <f>VLOOKUP(B13,拍照客户_业务级!$A$9:$KF$30,255,FALSE)</f>
        <v>4.22460832934533</v>
      </c>
      <c r="BA13" s="32">
        <f>VLOOKUP(B13,拍照客户_业务级!$A$9:$KF$30,233,FALSE)</f>
        <v>89.3082298605177</v>
      </c>
      <c r="BB13" s="33">
        <f>VLOOKUP(B13,拍照客户_业务级!$A$9:$KF$30,235,FALSE)</f>
        <v>-1.4726298071285</v>
      </c>
      <c r="BC13" s="33">
        <f>VLOOKUP(B13,拍照客户_业务级!$A$9:$KF$30,234,FALSE)</f>
        <v>-17.5194120088211</v>
      </c>
      <c r="BD13" s="33">
        <f>VLOOKUP(B13,拍照客户_业务级!$A$9:$KF$30,123,FALSE)</f>
        <v>100.641025641026</v>
      </c>
      <c r="BE13" s="33">
        <f>VLOOKUP(B13,拍照客户_业务级!$A$9:$KF$30,125,FALSE)</f>
        <v>-0.183150183150182</v>
      </c>
      <c r="BF13" s="33">
        <f>VLOOKUP(B13,拍照客户_业务级!$A$9:$KF$30,124,FALSE)</f>
        <v>1.45403377110694</v>
      </c>
      <c r="BG13" s="32">
        <f>VLOOKUP(B13,拍照客户_业务级!$A$9:$KF$30,239,FALSE)</f>
        <v>136.017595608035</v>
      </c>
      <c r="BH13" s="33">
        <f>VLOOKUP(B13,拍照客户_业务级!$A$9:$KF$30,241,FALSE)</f>
        <v>-6.41394028701892</v>
      </c>
      <c r="BI13" s="33">
        <f>VLOOKUP(B13,拍照客户_业务级!$A$9:$KF$30,240,FALSE)</f>
        <v>15.9216927166219</v>
      </c>
      <c r="BJ13" s="33">
        <f>VLOOKUP(B13,拍照客户_业务级!$A$9:$KF$30,128,FALSE)</f>
        <v>89.6059946821368</v>
      </c>
      <c r="BK13" s="33">
        <f>VLOOKUP(B13,拍照客户_业务级!$A$9:$KF$30,130,FALSE)</f>
        <v>-4.55885907662558</v>
      </c>
      <c r="BL13" s="33">
        <f>VLOOKUP(B13,拍照客户_业务级!$A$9:$KF$30,129,FALSE)</f>
        <v>-14.6019519233486</v>
      </c>
      <c r="BM13" s="32">
        <f>VLOOKUP(B13,拍照客户_业务级!$A$9:$KF$30,245,FALSE)</f>
        <v>110.07759852821</v>
      </c>
      <c r="BN13" s="32">
        <f>VLOOKUP(B13,拍照客户_业务级!$A$9:$KF$30,247,FALSE)</f>
        <v>-5.11926467563339</v>
      </c>
      <c r="BO13" s="32">
        <f>VLOOKUP(B13,拍照客户_业务级!$A$9:$KF$30,246,FALSE)</f>
        <v>-10.131159725647</v>
      </c>
    </row>
    <row r="14" ht="13.5" spans="1:67">
      <c r="A14" s="50"/>
      <c r="B14" s="29" t="s">
        <v>57</v>
      </c>
      <c r="C14" s="30">
        <f>ROUND(VLOOKUP(B14,拍照客户_客户级!$A$2:$BX$27,28,FALSE)/10000,3)</f>
        <v>-36.417</v>
      </c>
      <c r="D14" s="31">
        <f>ROUND(VLOOKUP(B14,拍照客户_客户级!$A$2:$BX$27,29,FALSE)/10000,3)</f>
        <v>928.206</v>
      </c>
      <c r="E14" s="31">
        <f>ROUND(VLOOKUP(B14,拍照客户_客户级!$A$2:$BX$27,30,FALSE)/10000,3)</f>
        <v>-981.787</v>
      </c>
      <c r="F14" s="31">
        <f>ROUND(VLOOKUP(B14,拍照客户_客户级!$A$2:$BX$27,33,FALSE)/10000,3)</f>
        <v>-22.652</v>
      </c>
      <c r="G14" s="31">
        <f>ROUND(VLOOKUP(B14,拍照客户_客户级!$A$2:$BX$27,31,FALSE)/10000,3)</f>
        <v>50.503</v>
      </c>
      <c r="H14" s="31">
        <f>ROUND(VLOOKUP(B14,拍照客户_客户级!$A$2:$BX$27,32,FALSE)/10000,3)</f>
        <v>-10.687</v>
      </c>
      <c r="I14" s="32">
        <f>VLOOKUP(B14,拍照客户_客户级!$A$2:$BX$27,13,FALSE)</f>
        <v>96.4198604424272</v>
      </c>
      <c r="J14" s="32">
        <f>VLOOKUP(B14,拍照客户_客户级!$A$2:$BX$27,15,FALSE)</f>
        <v>-0.646885405841058</v>
      </c>
      <c r="K14" s="32">
        <f>VLOOKUP(B14,拍照客户_客户级!$A$2:$BX$27,14,FALSE)</f>
        <v>0.0733808876243858</v>
      </c>
      <c r="L14" s="32">
        <f>VLOOKUP(B14,拍照客户_客户级!$A$2:$BX$27,34,FALSE)</f>
        <v>99.3904770765514</v>
      </c>
      <c r="M14" s="32">
        <f>VLOOKUP(B14,拍照客户_客户级!$A$2:$BX$27,36,FALSE)</f>
        <v>0.229967190284008</v>
      </c>
      <c r="N14" s="32">
        <f>VLOOKUP(B14,拍照客户_客户级!$A$2:$BX$27,35,FALSE)</f>
        <v>-0.513170085186233</v>
      </c>
      <c r="O14" s="33">
        <f>VLOOKUP(B14,拍照客户_客户级!$A$2:$BX$27,49,FALSE)</f>
        <v>-1.46052601334408</v>
      </c>
      <c r="P14" s="33">
        <f>VLOOKUP(B14,拍照客户_客户级!$A$2:$BX$27,50,FALSE)</f>
        <v>-1.0228883159518</v>
      </c>
      <c r="Q14" s="33">
        <f>VLOOKUP(B14,拍照客户_客户级!$A$2:$BX$27,51,FALSE)</f>
        <v>15.2982848096202</v>
      </c>
      <c r="R14" s="33">
        <f>VLOOKUP(B14,拍照客户_客户级!$A$2:$BX$27,52,FALSE)</f>
        <v>-16.5357684656653</v>
      </c>
      <c r="S14" s="33">
        <f>VLOOKUP(B14,拍照客户_客户级!$A$2:$BX$27,55,FALSE)</f>
        <v>-0.437637697392269</v>
      </c>
      <c r="T14" s="32">
        <f>VLOOKUP(B14,拍照客户_业务级!$A$9:$KF$30,282,FALSE)</f>
        <v>-0.262459495447887</v>
      </c>
      <c r="U14" s="32">
        <f>VLOOKUP(B14,拍照客户_业务级!$A$9:$KF$30,284,FALSE)</f>
        <v>0.646216759067801</v>
      </c>
      <c r="V14" s="32">
        <f>VLOOKUP(B14,拍照客户_业务级!$A$9:$KF$30,285,FALSE)</f>
        <v>4.54183820066389</v>
      </c>
      <c r="W14" s="32">
        <f>VLOOKUP(B14,拍照客户_业务级!$A$9:$KF$30,251,FALSE)</f>
        <v>100.962875596677</v>
      </c>
      <c r="X14" s="33">
        <f>VLOOKUP(B14,拍照客户_业务级!$A$9:$KF$30,253,FALSE)</f>
        <v>-0.787236775184463</v>
      </c>
      <c r="Y14" s="33">
        <f>VLOOKUP(B14,拍照客户_业务级!$A$9:$KF$30,252,FALSE)</f>
        <v>2.25497494273751</v>
      </c>
      <c r="Z14" s="32">
        <f>VLOOKUP(B14,拍照客户_业务级!$A$9:$KF$30,204,FALSE)</f>
        <v>103.00531793525</v>
      </c>
      <c r="AA14" s="33">
        <f>VLOOKUP(B14,拍照客户_业务级!$A$9:$KF$30,206,FALSE)</f>
        <v>-0.708583738631008</v>
      </c>
      <c r="AB14" s="33">
        <f>VLOOKUP(B14,拍照客户_业务级!$A$9:$KF$30,205,FALSE)</f>
        <v>3.87815492604359</v>
      </c>
      <c r="AC14" s="33">
        <f>VLOOKUP(B14,拍照客户_业务级!$A$9:$KF$30,78,FALSE)</f>
        <v>95.4214397467945</v>
      </c>
      <c r="AD14" s="33">
        <f>VLOOKUP(B14,拍照客户_业务级!$A$9:$KF$30,80,FALSE)</f>
        <v>-0.557483770028955</v>
      </c>
      <c r="AE14" s="33">
        <f>VLOOKUP(B14,拍照客户_业务级!$A$9:$KF$30,79,FALSE)</f>
        <v>2.55335493671196</v>
      </c>
      <c r="AF14" s="32">
        <f>VLOOKUP(B14,拍照客户_业务级!$A$9:$KF$30,213,FALSE)</f>
        <v>99.8135054031709</v>
      </c>
      <c r="AG14" s="33">
        <f>VLOOKUP(B14,拍照客户_业务级!$A$9:$KF$30,215,FALSE)</f>
        <v>-0.455914933517543</v>
      </c>
      <c r="AH14" s="33">
        <f>VLOOKUP(B14,拍照客户_业务级!$A$9:$KF$30,214,FALSE)</f>
        <v>0.57025054871082</v>
      </c>
      <c r="AI14" s="33">
        <f>VLOOKUP(B14,拍照客户_业务级!$A$9:$KF$30,94,FALSE)</f>
        <v>95.0642201834862</v>
      </c>
      <c r="AJ14" s="33">
        <f>VLOOKUP(B14,拍照客户_业务级!$A$9:$KF$30,96,FALSE)</f>
        <v>-0.596330275229362</v>
      </c>
      <c r="AK14" s="33">
        <f>VLOOKUP(B14,拍照客户_业务级!$A$9:$KF$30,95,FALSE)</f>
        <v>-0.548683042320219</v>
      </c>
      <c r="AL14" s="32">
        <f>VLOOKUP(B14,拍照客户_业务级!$A$9:$KF$30,221,FALSE)</f>
        <v>98.8031418949057</v>
      </c>
      <c r="AM14" s="33">
        <f>VLOOKUP(B14,拍照客户_业务级!$A$9:$KF$30,223,FALSE)</f>
        <v>-0.700327868500406</v>
      </c>
      <c r="AN14" s="33">
        <f>VLOOKUP(B14,拍照客户_业务级!$A$9:$KF$30,222,FALSE)</f>
        <v>-4.68913321902852</v>
      </c>
      <c r="AO14" s="33">
        <f>VLOOKUP(B14,拍照客户_业务级!$A$9:$KF$30,108,FALSE)</f>
        <v>83.3720650693164</v>
      </c>
      <c r="AP14" s="33">
        <f>VLOOKUP(B14,拍照客户_业务级!$A$9:$KF$30,110,FALSE)</f>
        <v>-2.99703501883164</v>
      </c>
      <c r="AQ14" s="33">
        <f>VLOOKUP(B14,拍照客户_业务级!$A$9:$KF$30,109,FALSE)</f>
        <v>-8.22838896019547</v>
      </c>
      <c r="AR14" s="32">
        <f>VLOOKUP(B14,拍照客户_业务级!$A$9:$KF$30,227,FALSE)</f>
        <v>94.2503231769426</v>
      </c>
      <c r="AS14" s="33">
        <f>VLOOKUP(B14,拍照客户_业务级!$A$9:$KF$30,229,FALSE)</f>
        <v>-1.54998705303445</v>
      </c>
      <c r="AT14" s="33">
        <f>VLOOKUP(B14,拍照客户_业务级!$A$9:$KF$30,228,FALSE)</f>
        <v>-1.45013567386784</v>
      </c>
      <c r="AU14" s="33">
        <f>VLOOKUP(B14,拍照客户_业务级!$A$9:$KF$30,118,FALSE)</f>
        <v>95.2462605851162</v>
      </c>
      <c r="AV14" s="33">
        <f>VLOOKUP(B14,拍照客户_业务级!$A$9:$KF$30,120,FALSE)</f>
        <v>-1.28736117339805</v>
      </c>
      <c r="AW14" s="33">
        <f>VLOOKUP(B14,拍照客户_业务级!$A$9:$KF$30,119,FALSE)</f>
        <v>-1.96854971195376</v>
      </c>
      <c r="AX14" s="32">
        <f>VLOOKUP(B14,拍照客户_业务级!$A$9:$KF$30,254,FALSE)</f>
        <v>102.328826146705</v>
      </c>
      <c r="AY14" s="33">
        <f>VLOOKUP(B14,拍照客户_业务级!$A$9:$KF$30,256,FALSE)</f>
        <v>-0.850151019125969</v>
      </c>
      <c r="AZ14" s="33">
        <f>VLOOKUP(B14,拍照客户_业务级!$A$9:$KF$30,255,FALSE)</f>
        <v>15.7941172485648</v>
      </c>
      <c r="BA14" s="32">
        <f>VLOOKUP(B14,拍照客户_业务级!$A$9:$KF$30,233,FALSE)</f>
        <v>119.976875164888</v>
      </c>
      <c r="BB14" s="33">
        <f>VLOOKUP(B14,拍照客户_业务级!$A$9:$KF$30,235,FALSE)</f>
        <v>-0.338239092998723</v>
      </c>
      <c r="BC14" s="33">
        <f>VLOOKUP(B14,拍照客户_业务级!$A$9:$KF$30,234,FALSE)</f>
        <v>20.3933457206078</v>
      </c>
      <c r="BD14" s="33">
        <f>VLOOKUP(B14,拍照客户_业务级!$A$9:$KF$30,123,FALSE)</f>
        <v>116.211121583412</v>
      </c>
      <c r="BE14" s="33">
        <f>VLOOKUP(B14,拍照客户_业务级!$A$9:$KF$30,125,FALSE)</f>
        <v>1.03675777568331</v>
      </c>
      <c r="BF14" s="33">
        <f>VLOOKUP(B14,拍照客户_业务级!$A$9:$KF$30,124,FALSE)</f>
        <v>0.934848560659973</v>
      </c>
      <c r="BG14" s="32">
        <f>VLOOKUP(B14,拍照客户_业务级!$A$9:$KF$30,239,FALSE)</f>
        <v>95.3911056529776</v>
      </c>
      <c r="BH14" s="33">
        <f>VLOOKUP(B14,拍照客户_业务级!$A$9:$KF$30,241,FALSE)</f>
        <v>-1.05139149943161</v>
      </c>
      <c r="BI14" s="33">
        <f>VLOOKUP(B14,拍照客户_业务级!$A$9:$KF$30,240,FALSE)</f>
        <v>13.9857065999399</v>
      </c>
      <c r="BJ14" s="33">
        <f>VLOOKUP(B14,拍照客户_业务级!$A$9:$KF$30,128,FALSE)</f>
        <v>98.0747267090879</v>
      </c>
      <c r="BK14" s="33">
        <f>VLOOKUP(B14,拍照客户_业务级!$A$9:$KF$30,130,FALSE)</f>
        <v>-9.96899983684125</v>
      </c>
      <c r="BL14" s="33">
        <f>VLOOKUP(B14,拍照客户_业务级!$A$9:$KF$30,129,FALSE)</f>
        <v>2.1057995623317</v>
      </c>
      <c r="BM14" s="32">
        <f>VLOOKUP(B14,拍照客户_业务级!$A$9:$KF$30,245,FALSE)</f>
        <v>87.5015668457057</v>
      </c>
      <c r="BN14" s="32">
        <f>VLOOKUP(B14,拍照客户_业务级!$A$9:$KF$30,247,FALSE)</f>
        <v>6.25534161753072</v>
      </c>
      <c r="BO14" s="32">
        <f>VLOOKUP(B14,拍照客户_业务级!$A$9:$KF$30,246,FALSE)</f>
        <v>-136.590550064018</v>
      </c>
    </row>
    <row r="15" ht="14.25" spans="1:67">
      <c r="A15" s="51"/>
      <c r="B15" s="35" t="s">
        <v>58</v>
      </c>
      <c r="C15" s="36">
        <f>ROUND(VLOOKUP(B15,拍照客户_客户级!$A$2:$BX$27,28,FALSE)/10000,3)</f>
        <v>-900.561</v>
      </c>
      <c r="D15" s="37">
        <f>ROUND(VLOOKUP(B15,拍照客户_客户级!$A$2:$BX$27,29,FALSE)/10000,3)</f>
        <v>647.707</v>
      </c>
      <c r="E15" s="37">
        <f>ROUND(VLOOKUP(B15,拍照客户_客户级!$A$2:$BX$27,30,FALSE)/10000,3)</f>
        <v>-1477.73</v>
      </c>
      <c r="F15" s="37">
        <f>ROUND(VLOOKUP(B15,拍照客户_客户级!$A$2:$BX$27,33,FALSE)/10000,3)</f>
        <v>-102.717</v>
      </c>
      <c r="G15" s="37">
        <f>ROUND(VLOOKUP(B15,拍照客户_客户级!$A$2:$BX$27,31,FALSE)/10000,3)</f>
        <v>52.863</v>
      </c>
      <c r="H15" s="37">
        <f>ROUND(VLOOKUP(B15,拍照客户_客户级!$A$2:$BX$27,32,FALSE)/10000,3)</f>
        <v>-20.685</v>
      </c>
      <c r="I15" s="38">
        <f>VLOOKUP(B15,拍照客户_客户级!$A$2:$BX$27,13,FALSE)</f>
        <v>91.2691880324293</v>
      </c>
      <c r="J15" s="38">
        <f>VLOOKUP(B15,拍照客户_客户级!$A$2:$BX$27,15,FALSE)</f>
        <v>-0.821021441211578</v>
      </c>
      <c r="K15" s="38">
        <f>VLOOKUP(B15,拍照客户_客户级!$A$2:$BX$27,14,FALSE)</f>
        <v>0.735165137432514</v>
      </c>
      <c r="L15" s="38">
        <f>VLOOKUP(B15,拍照客户_客户级!$A$2:$BX$27,34,FALSE)</f>
        <v>88.0648712065802</v>
      </c>
      <c r="M15" s="38">
        <f>VLOOKUP(B15,拍照客户_客户级!$A$2:$BX$27,36,FALSE)</f>
        <v>-0.0340810933548491</v>
      </c>
      <c r="N15" s="38">
        <f>VLOOKUP(B15,拍照客户_客户级!$A$2:$BX$27,35,FALSE)</f>
        <v>-9.11882538678586</v>
      </c>
      <c r="O15" s="39">
        <f>VLOOKUP(B15,拍照客户_客户级!$A$2:$BX$27,49,FALSE)</f>
        <v>-12.6452894677114</v>
      </c>
      <c r="P15" s="39">
        <f>VLOOKUP(B15,拍照客户_客户级!$A$2:$BX$27,50,FALSE)</f>
        <v>-11.1624094271085</v>
      </c>
      <c r="Q15" s="39">
        <f>VLOOKUP(B15,拍照客户_客户级!$A$2:$BX$27,51,FALSE)</f>
        <v>8.43826292103493</v>
      </c>
      <c r="R15" s="39">
        <f>VLOOKUP(B15,拍照客户_客户级!$A$2:$BX$27,52,FALSE)</f>
        <v>-19.6962366604084</v>
      </c>
      <c r="S15" s="39">
        <f>VLOOKUP(B15,拍照客户_客户级!$A$2:$BX$27,55,FALSE)</f>
        <v>-1.48288004060295</v>
      </c>
      <c r="T15" s="38">
        <f>VLOOKUP(B15,拍照客户_业务级!$A$9:$KF$30,282,FALSE)</f>
        <v>-1.91242050739159</v>
      </c>
      <c r="U15" s="38">
        <f>VLOOKUP(B15,拍照客户_业务级!$A$9:$KF$30,284,FALSE)</f>
        <v>-8.80254415464779</v>
      </c>
      <c r="V15" s="38">
        <f>VLOOKUP(B15,拍照客户_业务级!$A$9:$KF$30,285,FALSE)</f>
        <v>-2.32856318756156</v>
      </c>
      <c r="W15" s="38">
        <f>VLOOKUP(B15,拍照客户_业务级!$A$9:$KF$30,251,FALSE)</f>
        <v>97.5545916751407</v>
      </c>
      <c r="X15" s="39">
        <f>VLOOKUP(B15,拍照客户_业务级!$A$9:$KF$30,253,FALSE)</f>
        <v>-0.691356626038087</v>
      </c>
      <c r="Y15" s="39">
        <f>VLOOKUP(B15,拍照客户_业务级!$A$9:$KF$30,252,FALSE)</f>
        <v>-5.55235185570111</v>
      </c>
      <c r="Z15" s="38">
        <f>VLOOKUP(B15,拍照客户_业务级!$A$9:$KF$30,204,FALSE)</f>
        <v>98.0966729852364</v>
      </c>
      <c r="AA15" s="39">
        <f>VLOOKUP(B15,拍照客户_业务级!$A$9:$KF$30,206,FALSE)</f>
        <v>-0.458745864543763</v>
      </c>
      <c r="AB15" s="39">
        <f>VLOOKUP(B15,拍照客户_业务级!$A$9:$KF$30,205,FALSE)</f>
        <v>-7.47460878216162</v>
      </c>
      <c r="AC15" s="39">
        <f>VLOOKUP(B15,拍照客户_业务级!$A$9:$KF$30,78,FALSE)</f>
        <v>92.6903674161818</v>
      </c>
      <c r="AD15" s="39">
        <f>VLOOKUP(B15,拍照客户_业务级!$A$9:$KF$30,80,FALSE)</f>
        <v>-0.815488325719138</v>
      </c>
      <c r="AE15" s="39">
        <f>VLOOKUP(B15,拍照客户_业务级!$A$9:$KF$30,79,FALSE)</f>
        <v>-0.669693784022218</v>
      </c>
      <c r="AF15" s="38">
        <f>VLOOKUP(B15,拍照客户_业务级!$A$9:$KF$30,213,FALSE)</f>
        <v>102.068264933686</v>
      </c>
      <c r="AG15" s="39">
        <f>VLOOKUP(B15,拍照客户_业务级!$A$9:$KF$30,215,FALSE)</f>
        <v>-0.602520089303277</v>
      </c>
      <c r="AH15" s="39">
        <f>VLOOKUP(B15,拍照客户_业务级!$A$9:$KF$30,214,FALSE)</f>
        <v>-0.300097662430677</v>
      </c>
      <c r="AI15" s="39">
        <f>VLOOKUP(B15,拍照客户_业务级!$A$9:$KF$30,94,FALSE)</f>
        <v>90.0553396139403</v>
      </c>
      <c r="AJ15" s="39">
        <f>VLOOKUP(B15,拍照客户_业务级!$A$9:$KF$30,96,FALSE)</f>
        <v>-0.24046379866921</v>
      </c>
      <c r="AK15" s="39">
        <f>VLOOKUP(B15,拍照客户_业务级!$A$9:$KF$30,95,FALSE)</f>
        <v>-3.06194240198145</v>
      </c>
      <c r="AL15" s="38">
        <f>VLOOKUP(B15,拍照客户_业务级!$A$9:$KF$30,221,FALSE)</f>
        <v>103.621912747152</v>
      </c>
      <c r="AM15" s="39">
        <f>VLOOKUP(B15,拍照客户_业务级!$A$9:$KF$30,223,FALSE)</f>
        <v>-0.0895302148504973</v>
      </c>
      <c r="AN15" s="39">
        <f>VLOOKUP(B15,拍照客户_业务级!$A$9:$KF$30,222,FALSE)</f>
        <v>0.828741859411797</v>
      </c>
      <c r="AO15" s="39">
        <f>VLOOKUP(B15,拍照客户_业务级!$A$9:$KF$30,108,FALSE)</f>
        <v>87.8988306259591</v>
      </c>
      <c r="AP15" s="39">
        <f>VLOOKUP(B15,拍照客户_业务级!$A$9:$KF$30,110,FALSE)</f>
        <v>-2.31758294089635</v>
      </c>
      <c r="AQ15" s="39">
        <f>VLOOKUP(B15,拍照客户_业务级!$A$9:$KF$30,109,FALSE)</f>
        <v>-5.29371358913368</v>
      </c>
      <c r="AR15" s="38">
        <f>VLOOKUP(B15,拍照客户_业务级!$A$9:$KF$30,227,FALSE)</f>
        <v>89.6529518093676</v>
      </c>
      <c r="AS15" s="39">
        <f>VLOOKUP(B15,拍照客户_业务级!$A$9:$KF$30,229,FALSE)</f>
        <v>-1.583617726817</v>
      </c>
      <c r="AT15" s="39">
        <f>VLOOKUP(B15,拍照客户_业务级!$A$9:$KF$30,228,FALSE)</f>
        <v>-7.57359955926947</v>
      </c>
      <c r="AU15" s="39">
        <f>VLOOKUP(B15,拍照客户_业务级!$A$9:$KF$30,118,FALSE)</f>
        <v>93.9856642773796</v>
      </c>
      <c r="AV15" s="39">
        <f>VLOOKUP(B15,拍照客户_业务级!$A$9:$KF$30,120,FALSE)</f>
        <v>-0.940156692782124</v>
      </c>
      <c r="AW15" s="39">
        <f>VLOOKUP(B15,拍照客户_业务级!$A$9:$KF$30,119,FALSE)</f>
        <v>-1.03494011822483</v>
      </c>
      <c r="AX15" s="38">
        <f>VLOOKUP(B15,拍照客户_业务级!$A$9:$KF$30,254,FALSE)</f>
        <v>79.5027426280245</v>
      </c>
      <c r="AY15" s="39">
        <f>VLOOKUP(B15,拍照客户_业务级!$A$9:$KF$30,256,FALSE)</f>
        <v>0.793312273975022</v>
      </c>
      <c r="AZ15" s="39">
        <f>VLOOKUP(B15,拍照客户_业务级!$A$9:$KF$30,255,FALSE)</f>
        <v>-12.2734450977624</v>
      </c>
      <c r="BA15" s="38">
        <f>VLOOKUP(B15,拍照客户_业务级!$A$9:$KF$30,233,FALSE)</f>
        <v>74.9264310909161</v>
      </c>
      <c r="BB15" s="39">
        <f>VLOOKUP(B15,拍照客户_业务级!$A$9:$KF$30,235,FALSE)</f>
        <v>-0.349426101236472</v>
      </c>
      <c r="BC15" s="39">
        <f>VLOOKUP(B15,拍照客户_业务级!$A$9:$KF$30,234,FALSE)</f>
        <v>-16.1312819815024</v>
      </c>
      <c r="BD15" s="39">
        <f>VLOOKUP(B15,拍照客户_业务级!$A$9:$KF$30,123,FALSE)</f>
        <v>96.9101123595506</v>
      </c>
      <c r="BE15" s="39">
        <f>VLOOKUP(B15,拍照客户_业务级!$A$9:$KF$30,125,FALSE)</f>
        <v>0.42134831460674</v>
      </c>
      <c r="BF15" s="39">
        <f>VLOOKUP(B15,拍照客户_业务级!$A$9:$KF$30,124,FALSE)</f>
        <v>-42.3275558018844</v>
      </c>
      <c r="BG15" s="38">
        <f>VLOOKUP(B15,拍照客户_业务级!$A$9:$KF$30,239,FALSE)</f>
        <v>80.92370905122</v>
      </c>
      <c r="BH15" s="39">
        <f>VLOOKUP(B15,拍照客户_业务级!$A$9:$KF$30,241,FALSE)</f>
        <v>1.14813795585998</v>
      </c>
      <c r="BI15" s="39">
        <f>VLOOKUP(B15,拍照客户_业务级!$A$9:$KF$30,240,FALSE)</f>
        <v>-11.0876898560204</v>
      </c>
      <c r="BJ15" s="39">
        <f>VLOOKUP(B15,拍照客户_业务级!$A$9:$KF$30,128,FALSE)</f>
        <v>88.5117710672989</v>
      </c>
      <c r="BK15" s="39">
        <f>VLOOKUP(B15,拍照客户_业务级!$A$9:$KF$30,130,FALSE)</f>
        <v>0.15805673404875</v>
      </c>
      <c r="BL15" s="39">
        <f>VLOOKUP(B15,拍照客户_业务级!$A$9:$KF$30,129,FALSE)</f>
        <v>-12.188903973289</v>
      </c>
      <c r="BM15" s="38">
        <f>VLOOKUP(B15,拍照客户_业务级!$A$9:$KF$30,245,FALSE)</f>
        <v>81.5435795757467</v>
      </c>
      <c r="BN15" s="38">
        <f>VLOOKUP(B15,拍照客户_业务级!$A$9:$KF$30,247,FALSE)</f>
        <v>-0.544763917558866</v>
      </c>
      <c r="BO15" s="38">
        <f>VLOOKUP(B15,拍照客户_业务级!$A$9:$KF$30,246,FALSE)</f>
        <v>-10.3888031844152</v>
      </c>
    </row>
    <row r="16" ht="13.5" spans="1:67">
      <c r="A16" s="52" t="s">
        <v>59</v>
      </c>
      <c r="B16" s="41" t="s">
        <v>60</v>
      </c>
      <c r="C16" s="42">
        <f>ROUND(VLOOKUP(B16,拍照客户_客户级!$A$2:$BX$27,28,FALSE)/10000,3)</f>
        <v>464.457</v>
      </c>
      <c r="D16" s="43">
        <f>ROUND(VLOOKUP(B16,拍照客户_客户级!$A$2:$BX$27,29,FALSE)/10000,3)</f>
        <v>1494.936</v>
      </c>
      <c r="E16" s="43">
        <f>ROUND(VLOOKUP(B16,拍照客户_客户级!$A$2:$BX$27,30,FALSE)/10000,3)</f>
        <v>-982.939</v>
      </c>
      <c r="F16" s="43">
        <f>ROUND(VLOOKUP(B16,拍照客户_客户级!$A$2:$BX$27,33,FALSE)/10000,3)</f>
        <v>-142.393</v>
      </c>
      <c r="G16" s="43">
        <f>ROUND(VLOOKUP(B16,拍照客户_客户级!$A$2:$BX$27,31,FALSE)/10000,3)</f>
        <v>122.825</v>
      </c>
      <c r="H16" s="43">
        <f>ROUND(VLOOKUP(B16,拍照客户_客户级!$A$2:$BX$27,32,FALSE)/10000,3)</f>
        <v>-27.972</v>
      </c>
      <c r="I16" s="44">
        <f>VLOOKUP(B16,拍照客户_客户级!$A$2:$BX$27,13,FALSE)</f>
        <v>92.9562935662207</v>
      </c>
      <c r="J16" s="44">
        <f>VLOOKUP(B16,拍照客户_客户级!$A$2:$BX$27,15,FALSE)</f>
        <v>-0.94643858665171</v>
      </c>
      <c r="K16" s="44">
        <f>VLOOKUP(B16,拍照客户_客户级!$A$2:$BX$27,14,FALSE)</f>
        <v>0.344869721820606</v>
      </c>
      <c r="L16" s="44">
        <f>VLOOKUP(B16,拍照客户_客户级!$A$2:$BX$27,34,FALSE)</f>
        <v>103.239232135041</v>
      </c>
      <c r="M16" s="44">
        <f>VLOOKUP(B16,拍照客户_客户级!$A$2:$BX$27,36,FALSE)</f>
        <v>-0.673020637224053</v>
      </c>
      <c r="N16" s="44">
        <f>VLOOKUP(B16,拍照客户_客户级!$A$2:$BX$27,35,FALSE)</f>
        <v>-1.92902287017299</v>
      </c>
      <c r="O16" s="27">
        <f>VLOOKUP(B16,拍照客户_客户级!$A$2:$BX$27,49,FALSE)</f>
        <v>1.95640574796809</v>
      </c>
      <c r="P16" s="27">
        <f>VLOOKUP(B16,拍照客户_客户级!$A$2:$BX$27,50,FALSE)</f>
        <v>3.14589080717555</v>
      </c>
      <c r="Q16" s="27">
        <f>VLOOKUP(B16,拍照客户_客户级!$A$2:$BX$27,51,FALSE)</f>
        <v>10.1060224809297</v>
      </c>
      <c r="R16" s="27">
        <f>VLOOKUP(B16,拍照客户_客户级!$A$2:$BX$27,52,FALSE)</f>
        <v>-7.06229292256301</v>
      </c>
      <c r="S16" s="27">
        <f>VLOOKUP(B16,拍照客户_客户级!$A$2:$BX$27,55,FALSE)</f>
        <v>-1.18948505920748</v>
      </c>
      <c r="T16" s="44">
        <f>VLOOKUP(B16,拍照客户_业务级!$A$9:$KF$30,282,FALSE)</f>
        <v>0.614514077809394</v>
      </c>
      <c r="U16" s="44">
        <f>VLOOKUP(B16,拍照客户_业务级!$A$9:$KF$30,284,FALSE)</f>
        <v>-0.759383577712541</v>
      </c>
      <c r="V16" s="44">
        <f>VLOOKUP(B16,拍照客户_业务级!$A$9:$KF$30,285,FALSE)</f>
        <v>1.34759999755861</v>
      </c>
      <c r="W16" s="44">
        <f>VLOOKUP(B16,拍照客户_业务级!$A$9:$KF$30,251,FALSE)</f>
        <v>102.834314804766</v>
      </c>
      <c r="X16" s="27">
        <f>VLOOKUP(B16,拍照客户_业务级!$A$9:$KF$30,253,FALSE)</f>
        <v>-0.463680885150636</v>
      </c>
      <c r="Y16" s="27">
        <f>VLOOKUP(B16,拍照客户_业务级!$A$9:$KF$30,252,FALSE)</f>
        <v>0.0255346074340642</v>
      </c>
      <c r="Z16" s="44">
        <f>VLOOKUP(B16,拍照客户_业务级!$A$9:$KF$30,204,FALSE)</f>
        <v>103.398168576707</v>
      </c>
      <c r="AA16" s="27">
        <f>VLOOKUP(B16,拍照客户_业务级!$A$9:$KF$30,206,FALSE)</f>
        <v>-0.172722112658003</v>
      </c>
      <c r="AB16" s="27">
        <f>VLOOKUP(B16,拍照客户_业务级!$A$9:$KF$30,205,FALSE)</f>
        <v>-1.08239558862558</v>
      </c>
      <c r="AC16" s="27">
        <f>VLOOKUP(B16,拍照客户_业务级!$A$9:$KF$30,78,FALSE)</f>
        <v>95.4918905662082</v>
      </c>
      <c r="AD16" s="27">
        <f>VLOOKUP(B16,拍照客户_业务级!$A$9:$KF$30,80,FALSE)</f>
        <v>-0.80287589629735</v>
      </c>
      <c r="AE16" s="27">
        <f>VLOOKUP(B16,拍照客户_业务级!$A$9:$KF$30,79,FALSE)</f>
        <v>0.134747709065353</v>
      </c>
      <c r="AF16" s="44">
        <f>VLOOKUP(B16,拍照客户_业务级!$A$9:$KF$30,213,FALSE)</f>
        <v>101.639594056516</v>
      </c>
      <c r="AG16" s="27">
        <f>VLOOKUP(B16,拍照客户_业务级!$A$9:$KF$30,215,FALSE)</f>
        <v>-0.014963380543942</v>
      </c>
      <c r="AH16" s="27">
        <f>VLOOKUP(B16,拍照客户_业务级!$A$9:$KF$30,214,FALSE)</f>
        <v>4.15470703108838</v>
      </c>
      <c r="AI16" s="27">
        <f>VLOOKUP(B16,拍照客户_业务级!$A$9:$KF$30,94,FALSE)</f>
        <v>98.5850357187617</v>
      </c>
      <c r="AJ16" s="27">
        <f>VLOOKUP(B16,拍照客户_业务级!$A$9:$KF$30,96,FALSE)</f>
        <v>0.620378493545559</v>
      </c>
      <c r="AK16" s="27">
        <f>VLOOKUP(B16,拍照客户_业务级!$A$9:$KF$30,95,FALSE)</f>
        <v>4.45093112662387</v>
      </c>
      <c r="AL16" s="44">
        <f>VLOOKUP(B16,拍照客户_业务级!$A$9:$KF$30,221,FALSE)</f>
        <v>98.6400291925424</v>
      </c>
      <c r="AM16" s="27">
        <f>VLOOKUP(B16,拍照客户_业务级!$A$9:$KF$30,223,FALSE)</f>
        <v>-0.0268835170586845</v>
      </c>
      <c r="AN16" s="27">
        <f>VLOOKUP(B16,拍照客户_业务级!$A$9:$KF$30,222,FALSE)</f>
        <v>-4.3654112754102</v>
      </c>
      <c r="AO16" s="27">
        <f>VLOOKUP(B16,拍照客户_业务级!$A$9:$KF$30,108,FALSE)</f>
        <v>94.6682345876701</v>
      </c>
      <c r="AP16" s="27">
        <f>VLOOKUP(B16,拍照客户_业务级!$A$9:$KF$30,110,FALSE)</f>
        <v>-0.930744595676536</v>
      </c>
      <c r="AQ16" s="27">
        <f>VLOOKUP(B16,拍照客户_业务级!$A$9:$KF$30,109,FALSE)</f>
        <v>-3.86156833821548</v>
      </c>
      <c r="AR16" s="44">
        <f>VLOOKUP(B16,拍照客户_业务级!$A$9:$KF$30,227,FALSE)</f>
        <v>102.623949766634</v>
      </c>
      <c r="AS16" s="27">
        <f>VLOOKUP(B16,拍照客户_业务级!$A$9:$KF$30,229,FALSE)</f>
        <v>-1.73744356927651</v>
      </c>
      <c r="AT16" s="27">
        <f>VLOOKUP(B16,拍照客户_业务级!$A$9:$KF$30,228,FALSE)</f>
        <v>-0.400776693790701</v>
      </c>
      <c r="AU16" s="27">
        <f>VLOOKUP(B16,拍照客户_业务级!$A$9:$KF$30,118,FALSE)</f>
        <v>98.0026111253462</v>
      </c>
      <c r="AV16" s="27">
        <f>VLOOKUP(B16,拍照客户_业务级!$A$9:$KF$30,120,FALSE)</f>
        <v>-0.2806349671169</v>
      </c>
      <c r="AW16" s="27">
        <f>VLOOKUP(B16,拍照客户_业务级!$A$9:$KF$30,119,FALSE)</f>
        <v>1.12026502968696</v>
      </c>
      <c r="AX16" s="44">
        <f>VLOOKUP(B16,拍照客户_业务级!$A$9:$KF$30,254,FALSE)</f>
        <v>97.5013485200104</v>
      </c>
      <c r="AY16" s="27">
        <f>VLOOKUP(B16,拍照客户_业务级!$A$9:$KF$30,256,FALSE)</f>
        <v>-0.907362547810153</v>
      </c>
      <c r="AZ16" s="27">
        <f>VLOOKUP(B16,拍照客户_业务级!$A$9:$KF$30,255,FALSE)</f>
        <v>-9.45756540491063</v>
      </c>
      <c r="BA16" s="44">
        <f>VLOOKUP(B16,拍照客户_业务级!$A$9:$KF$30,233,FALSE)</f>
        <v>104.054587222059</v>
      </c>
      <c r="BB16" s="27">
        <f>VLOOKUP(B16,拍照客户_业务级!$A$9:$KF$30,235,FALSE)</f>
        <v>-0.781603510328321</v>
      </c>
      <c r="BC16" s="27">
        <f>VLOOKUP(B16,拍照客户_业务级!$A$9:$KF$30,234,FALSE)</f>
        <v>10.8545084822562</v>
      </c>
      <c r="BD16" s="27">
        <f>VLOOKUP(B16,拍照客户_业务级!$A$9:$KF$30,123,FALSE)</f>
        <v>92.877094972067</v>
      </c>
      <c r="BE16" s="27">
        <f>VLOOKUP(B16,拍照客户_业务级!$A$9:$KF$30,125,FALSE)</f>
        <v>-2.37430167597765</v>
      </c>
      <c r="BF16" s="27">
        <f>VLOOKUP(B16,拍照客户_业务级!$A$9:$KF$30,124,FALSE)</f>
        <v>-6.90692230655067</v>
      </c>
      <c r="BG16" s="44">
        <f>VLOOKUP(B16,拍照客户_业务级!$A$9:$KF$30,239,FALSE)</f>
        <v>95.2336108283113</v>
      </c>
      <c r="BH16" s="27">
        <f>VLOOKUP(B16,拍照客户_业务级!$A$9:$KF$30,241,FALSE)</f>
        <v>-0.950881260058523</v>
      </c>
      <c r="BI16" s="27">
        <f>VLOOKUP(B16,拍照客户_业务级!$A$9:$KF$30,240,FALSE)</f>
        <v>-17.3858362205248</v>
      </c>
      <c r="BJ16" s="27">
        <f>VLOOKUP(B16,拍照客户_业务级!$A$9:$KF$30,128,FALSE)</f>
        <v>97.0003071357881</v>
      </c>
      <c r="BK16" s="27">
        <f>VLOOKUP(B16,拍照客户_业务级!$A$9:$KF$30,130,FALSE)</f>
        <v>6.71944852062929</v>
      </c>
      <c r="BL16" s="27">
        <f>VLOOKUP(B16,拍照客户_业务级!$A$9:$KF$30,129,FALSE)</f>
        <v>-8.52349522564676</v>
      </c>
      <c r="BM16" s="44">
        <f>VLOOKUP(B16,拍照客户_业务级!$A$9:$KF$30,245,FALSE)</f>
        <v>132.751459616534</v>
      </c>
      <c r="BN16" s="44">
        <f>VLOOKUP(B16,拍照客户_业务级!$A$9:$KF$30,247,FALSE)</f>
        <v>-1.64773489390252</v>
      </c>
      <c r="BO16" s="44">
        <f>VLOOKUP(B16,拍照客户_业务级!$A$9:$KF$30,246,FALSE)</f>
        <v>11.7449721550447</v>
      </c>
    </row>
    <row r="17" ht="13.5" spans="1:67">
      <c r="A17" s="50"/>
      <c r="B17" s="29" t="s">
        <v>61</v>
      </c>
      <c r="C17" s="30">
        <f>ROUND(VLOOKUP(B17,拍照客户_客户级!$A$2:$BX$27,28,FALSE)/10000,3)</f>
        <v>132.584</v>
      </c>
      <c r="D17" s="31">
        <f>ROUND(VLOOKUP(B17,拍照客户_客户级!$A$2:$BX$27,29,FALSE)/10000,3)</f>
        <v>1819.856</v>
      </c>
      <c r="E17" s="31">
        <f>ROUND(VLOOKUP(B17,拍照客户_客户级!$A$2:$BX$27,30,FALSE)/10000,3)</f>
        <v>-2073.88</v>
      </c>
      <c r="F17" s="31">
        <f>ROUND(VLOOKUP(B17,拍照客户_客户级!$A$2:$BX$27,33,FALSE)/10000,3)</f>
        <v>195.517</v>
      </c>
      <c r="G17" s="31">
        <f>ROUND(VLOOKUP(B17,拍照客户_客户级!$A$2:$BX$27,31,FALSE)/10000,3)</f>
        <v>213.751</v>
      </c>
      <c r="H17" s="31">
        <f>ROUND(VLOOKUP(B17,拍照客户_客户级!$A$2:$BX$27,32,FALSE)/10000,3)</f>
        <v>-22.66</v>
      </c>
      <c r="I17" s="32">
        <f>VLOOKUP(B17,拍照客户_客户级!$A$2:$BX$27,13,FALSE)</f>
        <v>91.6960414262096</v>
      </c>
      <c r="J17" s="32">
        <f>VLOOKUP(B17,拍照客户_客户级!$A$2:$BX$27,15,FALSE)</f>
        <v>-1.09726424805815</v>
      </c>
      <c r="K17" s="32">
        <f>VLOOKUP(B17,拍照客户_客户级!$A$2:$BX$27,14,FALSE)</f>
        <v>0.396189940676117</v>
      </c>
      <c r="L17" s="32">
        <f>VLOOKUP(B17,拍照客户_客户级!$A$2:$BX$27,34,FALSE)</f>
        <v>100.843816236726</v>
      </c>
      <c r="M17" s="32">
        <f>VLOOKUP(B17,拍照客户_客户级!$A$2:$BX$27,36,FALSE)</f>
        <v>-0.831477957618928</v>
      </c>
      <c r="N17" s="32">
        <f>VLOOKUP(B17,拍照客户_客户级!$A$2:$BX$27,35,FALSE)</f>
        <v>1.822873041305</v>
      </c>
      <c r="O17" s="33">
        <f>VLOOKUP(B17,拍照客户_客户级!$A$2:$BX$27,49,FALSE)</f>
        <v>-1.19856067217665</v>
      </c>
      <c r="P17" s="33">
        <f>VLOOKUP(B17,拍照客户_客户级!$A$2:$BX$27,50,FALSE)</f>
        <v>-2.19435190815692</v>
      </c>
      <c r="Q17" s="33">
        <f>VLOOKUP(B17,拍照客户_客户级!$A$2:$BX$27,51,FALSE)</f>
        <v>11.2348364978425</v>
      </c>
      <c r="R17" s="33">
        <f>VLOOKUP(B17,拍照客户_客户级!$A$2:$BX$27,52,FALSE)</f>
        <v>-13.5619412497564</v>
      </c>
      <c r="S17" s="33">
        <f>VLOOKUP(B17,拍照客户_客户级!$A$2:$BX$27,55,FALSE)</f>
        <v>0.995791235980267</v>
      </c>
      <c r="T17" s="32">
        <f>VLOOKUP(B17,拍照客户_业务级!$A$9:$KF$30,282,FALSE)</f>
        <v>1.18706707249438</v>
      </c>
      <c r="U17" s="32">
        <f>VLOOKUP(B17,拍照客户_业务级!$A$9:$KF$30,284,FALSE)</f>
        <v>-3.13542686941705</v>
      </c>
      <c r="V17" s="32">
        <f>VLOOKUP(B17,拍照客户_业务级!$A$9:$KF$30,285,FALSE)</f>
        <v>0.616995634924071</v>
      </c>
      <c r="W17" s="32">
        <f>VLOOKUP(B17,拍照客户_业务级!$A$9:$KF$30,251,FALSE)</f>
        <v>106.010501509379</v>
      </c>
      <c r="X17" s="33">
        <f>VLOOKUP(B17,拍照客户_业务级!$A$9:$KF$30,253,FALSE)</f>
        <v>-1.43538252403941</v>
      </c>
      <c r="Y17" s="33">
        <f>VLOOKUP(B17,拍照客户_业务级!$A$9:$KF$30,252,FALSE)</f>
        <v>8.31223283897385</v>
      </c>
      <c r="Z17" s="32">
        <f>VLOOKUP(B17,拍照客户_业务级!$A$9:$KF$30,204,FALSE)</f>
        <v>101.840916352262</v>
      </c>
      <c r="AA17" s="33">
        <f>VLOOKUP(B17,拍照客户_业务级!$A$9:$KF$30,206,FALSE)</f>
        <v>-0.38972429559585</v>
      </c>
      <c r="AB17" s="33">
        <f>VLOOKUP(B17,拍照客户_业务级!$A$9:$KF$30,205,FALSE)</f>
        <v>-0.411398811334274</v>
      </c>
      <c r="AC17" s="33">
        <f>VLOOKUP(B17,拍照客户_业务级!$A$9:$KF$30,78,FALSE)</f>
        <v>93.2183452535965</v>
      </c>
      <c r="AD17" s="33">
        <f>VLOOKUP(B17,拍照客户_业务级!$A$9:$KF$30,80,FALSE)</f>
        <v>-0.869959049649938</v>
      </c>
      <c r="AE17" s="33">
        <f>VLOOKUP(B17,拍照客户_业务级!$A$9:$KF$30,79,FALSE)</f>
        <v>-3.22726332047122</v>
      </c>
      <c r="AF17" s="32">
        <f>VLOOKUP(B17,拍照客户_业务级!$A$9:$KF$30,213,FALSE)</f>
        <v>99.8838788373977</v>
      </c>
      <c r="AG17" s="33">
        <f>VLOOKUP(B17,拍照客户_业务级!$A$9:$KF$30,215,FALSE)</f>
        <v>-0.451272909189249</v>
      </c>
      <c r="AH17" s="33">
        <f>VLOOKUP(B17,拍照客户_业务级!$A$9:$KF$30,214,FALSE)</f>
        <v>0.768118828754893</v>
      </c>
      <c r="AI17" s="33">
        <f>VLOOKUP(B17,拍照客户_业务级!$A$9:$KF$30,94,FALSE)</f>
        <v>96.0751701788378</v>
      </c>
      <c r="AJ17" s="33">
        <f>VLOOKUP(B17,拍照客户_业务级!$A$9:$KF$30,96,FALSE)</f>
        <v>1.72322148111315</v>
      </c>
      <c r="AK17" s="33">
        <f>VLOOKUP(B17,拍照客户_业务级!$A$9:$KF$30,95,FALSE)</f>
        <v>1.92554208104254</v>
      </c>
      <c r="AL17" s="32">
        <f>VLOOKUP(B17,拍照客户_业务级!$A$9:$KF$30,221,FALSE)</f>
        <v>100.192315522215</v>
      </c>
      <c r="AM17" s="33">
        <f>VLOOKUP(B17,拍照客户_业务级!$A$9:$KF$30,223,FALSE)</f>
        <v>-0.379530866848654</v>
      </c>
      <c r="AN17" s="33">
        <f>VLOOKUP(B17,拍照客户_业务级!$A$9:$KF$30,222,FALSE)</f>
        <v>-8.99512934790071</v>
      </c>
      <c r="AO17" s="33">
        <f>VLOOKUP(B17,拍照客户_业务级!$A$9:$KF$30,108,FALSE)</f>
        <v>94.8559423769508</v>
      </c>
      <c r="AP17" s="33">
        <f>VLOOKUP(B17,拍照客户_业务级!$A$9:$KF$30,110,FALSE)</f>
        <v>0.795318127250899</v>
      </c>
      <c r="AQ17" s="33">
        <f>VLOOKUP(B17,拍照客户_业务级!$A$9:$KF$30,109,FALSE)</f>
        <v>-6.15017551571065</v>
      </c>
      <c r="AR17" s="32">
        <f>VLOOKUP(B17,拍照客户_业务级!$A$9:$KF$30,227,FALSE)</f>
        <v>119.285202713234</v>
      </c>
      <c r="AS17" s="33">
        <f>VLOOKUP(B17,拍照客户_业务级!$A$9:$KF$30,229,FALSE)</f>
        <v>-4.32795664428465</v>
      </c>
      <c r="AT17" s="33">
        <f>VLOOKUP(B17,拍照客户_业务级!$A$9:$KF$30,228,FALSE)</f>
        <v>31.3802602163709</v>
      </c>
      <c r="AU17" s="33">
        <f>VLOOKUP(B17,拍照客户_业务级!$A$9:$KF$30,118,FALSE)</f>
        <v>96.3505913047197</v>
      </c>
      <c r="AV17" s="33">
        <f>VLOOKUP(B17,拍照客户_业务级!$A$9:$KF$30,120,FALSE)</f>
        <v>0.112273048052869</v>
      </c>
      <c r="AW17" s="33">
        <f>VLOOKUP(B17,拍照客户_业务级!$A$9:$KF$30,119,FALSE)</f>
        <v>1.26063741174027</v>
      </c>
      <c r="AX17" s="32">
        <f>VLOOKUP(B17,拍照客户_业务级!$A$9:$KF$30,254,FALSE)</f>
        <v>91.1807191922318</v>
      </c>
      <c r="AY17" s="33">
        <f>VLOOKUP(B17,拍照客户_业务级!$A$9:$KF$30,256,FALSE)</f>
        <v>-0.128815312670638</v>
      </c>
      <c r="AZ17" s="33">
        <f>VLOOKUP(B17,拍照客户_业务级!$A$9:$KF$30,255,FALSE)</f>
        <v>-6.45283268930756</v>
      </c>
      <c r="BA17" s="32">
        <f>VLOOKUP(B17,拍照客户_业务级!$A$9:$KF$30,233,FALSE)</f>
        <v>102.400909717</v>
      </c>
      <c r="BB17" s="33">
        <f>VLOOKUP(B17,拍照客户_业务级!$A$9:$KF$30,235,FALSE)</f>
        <v>-0.961838511722746</v>
      </c>
      <c r="BC17" s="33">
        <f>VLOOKUP(B17,拍照客户_业务级!$A$9:$KF$30,234,FALSE)</f>
        <v>-1.20456307397829</v>
      </c>
      <c r="BD17" s="33">
        <f>VLOOKUP(B17,拍照客户_业务级!$A$9:$KF$30,123,FALSE)</f>
        <v>106.047904191617</v>
      </c>
      <c r="BE17" s="33">
        <f>VLOOKUP(B17,拍照客户_业务级!$A$9:$KF$30,125,FALSE)</f>
        <v>1.79640718562875</v>
      </c>
      <c r="BF17" s="33">
        <f>VLOOKUP(B17,拍照客户_业务级!$A$9:$KF$30,124,FALSE)</f>
        <v>9.69028829757702</v>
      </c>
      <c r="BG17" s="32">
        <f>VLOOKUP(B17,拍照客户_业务级!$A$9:$KF$30,239,FALSE)</f>
        <v>86.3665475804336</v>
      </c>
      <c r="BH17" s="33">
        <f>VLOOKUP(B17,拍照客户_业务级!$A$9:$KF$30,241,FALSE)</f>
        <v>0.228604343260666</v>
      </c>
      <c r="BI17" s="33">
        <f>VLOOKUP(B17,拍照客户_业务级!$A$9:$KF$30,240,FALSE)</f>
        <v>-8.5089134574245</v>
      </c>
      <c r="BJ17" s="33">
        <f>VLOOKUP(B17,拍照客户_业务级!$A$9:$KF$30,128,FALSE)</f>
        <v>91.2518920844092</v>
      </c>
      <c r="BK17" s="33">
        <f>VLOOKUP(B17,拍照客户_业务级!$A$9:$KF$30,130,FALSE)</f>
        <v>0.783545543584718</v>
      </c>
      <c r="BL17" s="33">
        <f>VLOOKUP(B17,拍照客户_业务级!$A$9:$KF$30,129,FALSE)</f>
        <v>5.54169267283682</v>
      </c>
      <c r="BM17" s="32">
        <f>VLOOKUP(B17,拍照客户_业务级!$A$9:$KF$30,245,FALSE)</f>
        <v>107.24722962676</v>
      </c>
      <c r="BN17" s="32">
        <f>VLOOKUP(B17,拍照客户_业务级!$A$9:$KF$30,247,FALSE)</f>
        <v>-0.177939692859508</v>
      </c>
      <c r="BO17" s="32">
        <f>VLOOKUP(B17,拍照客户_业务级!$A$9:$KF$30,246,FALSE)</f>
        <v>-6.25316610516291</v>
      </c>
    </row>
    <row r="18" ht="13.5" spans="1:67">
      <c r="A18" s="50"/>
      <c r="B18" s="29" t="s">
        <v>62</v>
      </c>
      <c r="C18" s="30">
        <f>ROUND(VLOOKUP(B18,拍照客户_客户级!$A$2:$BX$27,28,FALSE)/10000,3)</f>
        <v>383.06</v>
      </c>
      <c r="D18" s="31">
        <f>ROUND(VLOOKUP(B18,拍照客户_客户级!$A$2:$BX$27,29,FALSE)/10000,3)</f>
        <v>924.142</v>
      </c>
      <c r="E18" s="31">
        <f>ROUND(VLOOKUP(B18,拍照客户_客户级!$A$2:$BX$27,30,FALSE)/10000,3)</f>
        <v>-487.301</v>
      </c>
      <c r="F18" s="31">
        <f>ROUND(VLOOKUP(B18,拍照客户_客户级!$A$2:$BX$27,33,FALSE)/10000,3)</f>
        <v>-109.825</v>
      </c>
      <c r="G18" s="31">
        <f>ROUND(VLOOKUP(B18,拍照客户_客户级!$A$2:$BX$27,31,FALSE)/10000,3)</f>
        <v>61.593</v>
      </c>
      <c r="H18" s="31">
        <f>ROUND(VLOOKUP(B18,拍照客户_客户级!$A$2:$BX$27,32,FALSE)/10000,3)</f>
        <v>-5.549</v>
      </c>
      <c r="I18" s="32">
        <f>VLOOKUP(B18,拍照客户_客户级!$A$2:$BX$27,13,FALSE)</f>
        <v>90.8358809932145</v>
      </c>
      <c r="J18" s="32">
        <f>VLOOKUP(B18,拍照客户_客户级!$A$2:$BX$27,15,FALSE)</f>
        <v>-0.738199985086874</v>
      </c>
      <c r="K18" s="32">
        <f>VLOOKUP(B18,拍照客户_客户级!$A$2:$BX$27,14,FALSE)</f>
        <v>-1.4662619020989</v>
      </c>
      <c r="L18" s="32">
        <f>VLOOKUP(B18,拍照客户_客户级!$A$2:$BX$27,34,FALSE)</f>
        <v>104.883921591923</v>
      </c>
      <c r="M18" s="32">
        <f>VLOOKUP(B18,拍照客户_客户级!$A$2:$BX$27,36,FALSE)</f>
        <v>-1.0225859359102</v>
      </c>
      <c r="N18" s="32">
        <f>VLOOKUP(B18,拍照客户_客户级!$A$2:$BX$27,35,FALSE)</f>
        <v>4.36720547239047</v>
      </c>
      <c r="O18" s="33">
        <f>VLOOKUP(B18,拍照客户_客户级!$A$2:$BX$27,49,FALSE)</f>
        <v>3.33768771526501</v>
      </c>
      <c r="P18" s="33">
        <f>VLOOKUP(B18,拍照客户_客户级!$A$2:$BX$27,50,FALSE)</f>
        <v>4.99927881005564</v>
      </c>
      <c r="Q18" s="33">
        <f>VLOOKUP(B18,拍照客户_客户级!$A$2:$BX$27,51,FALSE)</f>
        <v>11.4664959374728</v>
      </c>
      <c r="R18" s="33">
        <f>VLOOKUP(B18,拍照客户_客户级!$A$2:$BX$27,52,FALSE)</f>
        <v>-6.55774466837985</v>
      </c>
      <c r="S18" s="33">
        <f>VLOOKUP(B18,拍照客户_客户级!$A$2:$BX$27,55,FALSE)</f>
        <v>-1.66159109479064</v>
      </c>
      <c r="T18" s="32">
        <f>VLOOKUP(B18,拍照客户_业务级!$A$9:$KF$30,282,FALSE)</f>
        <v>-0.916211735975674</v>
      </c>
      <c r="U18" s="32">
        <f>VLOOKUP(B18,拍照客户_业务级!$A$9:$KF$30,284,FALSE)</f>
        <v>2.91143144034639</v>
      </c>
      <c r="V18" s="32">
        <f>VLOOKUP(B18,拍照客户_业务级!$A$9:$KF$30,285,FALSE)</f>
        <v>1.21060227655187</v>
      </c>
      <c r="W18" s="32">
        <f>VLOOKUP(B18,拍照客户_业务级!$A$9:$KF$30,251,FALSE)</f>
        <v>100.934217635932</v>
      </c>
      <c r="X18" s="33">
        <f>VLOOKUP(B18,拍照客户_业务级!$A$9:$KF$30,253,FALSE)</f>
        <v>-0.391412310172234</v>
      </c>
      <c r="Y18" s="33">
        <f>VLOOKUP(B18,拍照客户_业务级!$A$9:$KF$30,252,FALSE)</f>
        <v>0.14266310515334</v>
      </c>
      <c r="Z18" s="32">
        <f>VLOOKUP(B18,拍照客户_业务级!$A$9:$KF$30,204,FALSE)</f>
        <v>104.450471883382</v>
      </c>
      <c r="AA18" s="33">
        <f>VLOOKUP(B18,拍照客户_业务级!$A$9:$KF$30,206,FALSE)</f>
        <v>-0.412550054394001</v>
      </c>
      <c r="AB18" s="33">
        <f>VLOOKUP(B18,拍照客户_业务级!$A$9:$KF$30,205,FALSE)</f>
        <v>-1.22479015777697</v>
      </c>
      <c r="AC18" s="33">
        <f>VLOOKUP(B18,拍照客户_业务级!$A$9:$KF$30,78,FALSE)</f>
        <v>94.6780628683038</v>
      </c>
      <c r="AD18" s="33">
        <f>VLOOKUP(B18,拍照客户_业务级!$A$9:$KF$30,80,FALSE)</f>
        <v>1.45735605896199</v>
      </c>
      <c r="AE18" s="33">
        <f>VLOOKUP(B18,拍照客户_业务级!$A$9:$KF$30,79,FALSE)</f>
        <v>-1.23918776273079</v>
      </c>
      <c r="AF18" s="32">
        <f>VLOOKUP(B18,拍照客户_业务级!$A$9:$KF$30,213,FALSE)</f>
        <v>106.433369980232</v>
      </c>
      <c r="AG18" s="33">
        <f>VLOOKUP(B18,拍照客户_业务级!$A$9:$KF$30,215,FALSE)</f>
        <v>-0.198931831948925</v>
      </c>
      <c r="AH18" s="33">
        <f>VLOOKUP(B18,拍照客户_业务级!$A$9:$KF$30,214,FALSE)</f>
        <v>6.72524952269747</v>
      </c>
      <c r="AI18" s="33">
        <f>VLOOKUP(B18,拍照客户_业务级!$A$9:$KF$30,94,FALSE)</f>
        <v>88.5975477933228</v>
      </c>
      <c r="AJ18" s="33">
        <f>VLOOKUP(B18,拍照客户_业务级!$A$9:$KF$30,96,FALSE)</f>
        <v>0.333549522838872</v>
      </c>
      <c r="AK18" s="33">
        <f>VLOOKUP(B18,拍照客户_业务级!$A$9:$KF$30,95,FALSE)</f>
        <v>-11.8063322163427</v>
      </c>
      <c r="AL18" s="32">
        <f>VLOOKUP(B18,拍照客户_业务级!$A$9:$KF$30,221,FALSE)</f>
        <v>101.485000689859</v>
      </c>
      <c r="AM18" s="33">
        <f>VLOOKUP(B18,拍照客户_业务级!$A$9:$KF$30,223,FALSE)</f>
        <v>1.32321227022894</v>
      </c>
      <c r="AN18" s="33">
        <f>VLOOKUP(B18,拍照客户_业务级!$A$9:$KF$30,222,FALSE)</f>
        <v>-1.406602815562</v>
      </c>
      <c r="AO18" s="33">
        <f>VLOOKUP(B18,拍照客户_业务级!$A$9:$KF$30,108,FALSE)</f>
        <v>77.3960739030023</v>
      </c>
      <c r="AP18" s="33">
        <f>VLOOKUP(B18,拍照客户_业务级!$A$9:$KF$30,110,FALSE)</f>
        <v>-2.68956889915319</v>
      </c>
      <c r="AQ18" s="33">
        <f>VLOOKUP(B18,拍照客户_业务级!$A$9:$KF$30,109,FALSE)</f>
        <v>-21.8754558844441</v>
      </c>
      <c r="AR18" s="32">
        <f>VLOOKUP(B18,拍照客户_业务级!$A$9:$KF$30,227,FALSE)</f>
        <v>91.8411589343309</v>
      </c>
      <c r="AS18" s="33">
        <f>VLOOKUP(B18,拍照客户_业务级!$A$9:$KF$30,229,FALSE)</f>
        <v>-0.616121059378327</v>
      </c>
      <c r="AT18" s="33">
        <f>VLOOKUP(B18,拍照客户_业务级!$A$9:$KF$30,228,FALSE)</f>
        <v>-2.37582155336136</v>
      </c>
      <c r="AU18" s="33">
        <f>VLOOKUP(B18,拍照客户_业务级!$A$9:$KF$30,118,FALSE)</f>
        <v>96.0244751698726</v>
      </c>
      <c r="AV18" s="33">
        <f>VLOOKUP(B18,拍照客户_业务级!$A$9:$KF$30,120,FALSE)</f>
        <v>-0.228187011933334</v>
      </c>
      <c r="AW18" s="33">
        <f>VLOOKUP(B18,拍照客户_业务级!$A$9:$KF$30,119,FALSE)</f>
        <v>-1.9706625934986</v>
      </c>
      <c r="AX18" s="32">
        <f>VLOOKUP(B18,拍照客户_业务级!$A$9:$KF$30,254,FALSE)</f>
        <v>109.494975109292</v>
      </c>
      <c r="AY18" s="33">
        <f>VLOOKUP(B18,拍照客户_业务级!$A$9:$KF$30,256,FALSE)</f>
        <v>-2.47343177448194</v>
      </c>
      <c r="AZ18" s="33">
        <f>VLOOKUP(B18,拍照客户_业务级!$A$9:$KF$30,255,FALSE)</f>
        <v>3.84950704298226</v>
      </c>
      <c r="BA18" s="32">
        <f>VLOOKUP(B18,拍照客户_业务级!$A$9:$KF$30,233,FALSE)</f>
        <v>107.45428997404</v>
      </c>
      <c r="BB18" s="33">
        <f>VLOOKUP(B18,拍照客户_业务级!$A$9:$KF$30,235,FALSE)</f>
        <v>-0.251408132676212</v>
      </c>
      <c r="BC18" s="33">
        <f>VLOOKUP(B18,拍照客户_业务级!$A$9:$KF$30,234,FALSE)</f>
        <v>5.77395323058987</v>
      </c>
      <c r="BD18" s="33">
        <f>VLOOKUP(B18,拍照客户_业务级!$A$9:$KF$30,123,FALSE)</f>
        <v>101.329787234043</v>
      </c>
      <c r="BE18" s="33">
        <f>VLOOKUP(B18,拍照客户_业务级!$A$9:$KF$30,125,FALSE)</f>
        <v>1.59574468085106</v>
      </c>
      <c r="BF18" s="33">
        <f>VLOOKUP(B18,拍照客户_业务级!$A$9:$KF$30,124,FALSE)</f>
        <v>-11.5228773427599</v>
      </c>
      <c r="BG18" s="32">
        <f>VLOOKUP(B18,拍照客户_业务级!$A$9:$KF$30,239,FALSE)</f>
        <v>110.083754138174</v>
      </c>
      <c r="BH18" s="33">
        <f>VLOOKUP(B18,拍照客户_业务级!$A$9:$KF$30,241,FALSE)</f>
        <v>-3.11453063847276</v>
      </c>
      <c r="BI18" s="33">
        <f>VLOOKUP(B18,拍照客户_业务级!$A$9:$KF$30,240,FALSE)</f>
        <v>3.18706765756187</v>
      </c>
      <c r="BJ18" s="33">
        <f>VLOOKUP(B18,拍照客户_业务级!$A$9:$KF$30,128,FALSE)</f>
        <v>100.712742980562</v>
      </c>
      <c r="BK18" s="33">
        <f>VLOOKUP(B18,拍照客户_业务级!$A$9:$KF$30,130,FALSE)</f>
        <v>-3.58531317494599</v>
      </c>
      <c r="BL18" s="33">
        <f>VLOOKUP(B18,拍照客户_业务级!$A$9:$KF$30,129,FALSE)</f>
        <v>-4.4500240591129</v>
      </c>
      <c r="BM18" s="32">
        <f>VLOOKUP(B18,拍照客户_业务级!$A$9:$KF$30,245,FALSE)</f>
        <v>114.80897189145</v>
      </c>
      <c r="BN18" s="32">
        <f>VLOOKUP(B18,拍照客户_业务级!$A$9:$KF$30,247,FALSE)</f>
        <v>-0.20658491423502</v>
      </c>
      <c r="BO18" s="32">
        <f>VLOOKUP(B18,拍照客户_业务级!$A$9:$KF$30,246,FALSE)</f>
        <v>29.4946145886298</v>
      </c>
    </row>
    <row r="19" ht="14.25" spans="1:67">
      <c r="A19" s="53"/>
      <c r="B19" s="46" t="s">
        <v>63</v>
      </c>
      <c r="C19" s="47">
        <f>ROUND(VLOOKUP(B19,拍照客户_客户级!$A$2:$BX$27,28,FALSE)/10000,3)</f>
        <v>89.084</v>
      </c>
      <c r="D19" s="20">
        <f>ROUND(VLOOKUP(B19,拍照客户_客户级!$A$2:$BX$27,29,FALSE)/10000,3)</f>
        <v>656.301</v>
      </c>
      <c r="E19" s="20">
        <f>ROUND(VLOOKUP(B19,拍照客户_客户级!$A$2:$BX$27,30,FALSE)/10000,3)</f>
        <v>-583.822</v>
      </c>
      <c r="F19" s="20">
        <f>ROUND(VLOOKUP(B19,拍照客户_客户级!$A$2:$BX$27,33,FALSE)/10000,3)</f>
        <v>-11.182</v>
      </c>
      <c r="G19" s="20">
        <f>ROUND(VLOOKUP(B19,拍照客户_客户级!$A$2:$BX$27,31,FALSE)/10000,3)</f>
        <v>41.218</v>
      </c>
      <c r="H19" s="20">
        <f>ROUND(VLOOKUP(B19,拍照客户_客户级!$A$2:$BX$27,32,FALSE)/10000,3)</f>
        <v>-13.431</v>
      </c>
      <c r="I19" s="48">
        <f>VLOOKUP(B19,拍照客户_客户级!$A$2:$BX$27,13,FALSE)</f>
        <v>90.3564931843417</v>
      </c>
      <c r="J19" s="48">
        <f>VLOOKUP(B19,拍照客户_客户级!$A$2:$BX$27,15,FALSE)</f>
        <v>-1.69387417609677</v>
      </c>
      <c r="K19" s="48">
        <f>VLOOKUP(B19,拍照客户_客户级!$A$2:$BX$27,14,FALSE)</f>
        <v>-0.388881737456492</v>
      </c>
      <c r="L19" s="48">
        <f>VLOOKUP(B19,拍照客户_客户级!$A$2:$BX$27,34,FALSE)</f>
        <v>101.526357255007</v>
      </c>
      <c r="M19" s="48">
        <f>VLOOKUP(B19,拍照客户_客户级!$A$2:$BX$27,36,FALSE)</f>
        <v>0.437699380790457</v>
      </c>
      <c r="N19" s="48">
        <f>VLOOKUP(B19,拍照客户_客户级!$A$2:$BX$27,35,FALSE)</f>
        <v>1.90613053995311</v>
      </c>
      <c r="O19" s="39">
        <f>VLOOKUP(B19,拍照客户_客户级!$A$2:$BX$27,49,FALSE)</f>
        <v>0.411097984638009</v>
      </c>
      <c r="P19" s="39">
        <f>VLOOKUP(B19,拍照客户_客户级!$A$2:$BX$27,50,FALSE)</f>
        <v>0.790874417441329</v>
      </c>
      <c r="Q19" s="39">
        <f>VLOOKUP(B19,拍照客户_客户级!$A$2:$BX$27,51,FALSE)</f>
        <v>11.0192284746337</v>
      </c>
      <c r="R19" s="39">
        <f>VLOOKUP(B19,拍照客户_客户级!$A$2:$BX$27,52,FALSE)</f>
        <v>-10.3173182526231</v>
      </c>
      <c r="S19" s="39">
        <f>VLOOKUP(B19,拍照客户_客户级!$A$2:$BX$27,55,FALSE)</f>
        <v>-0.379776432803309</v>
      </c>
      <c r="T19" s="48">
        <f>VLOOKUP(B19,拍照客户_业务级!$A$9:$KF$30,282,FALSE)</f>
        <v>-1.13596687882394</v>
      </c>
      <c r="U19" s="48">
        <f>VLOOKUP(B19,拍照客户_业务级!$A$9:$KF$30,284,FALSE)</f>
        <v>0.490738142815445</v>
      </c>
      <c r="V19" s="48">
        <f>VLOOKUP(B19,拍照客户_业务级!$A$9:$KF$30,285,FALSE)</f>
        <v>1.51386186718955</v>
      </c>
      <c r="W19" s="48">
        <f>VLOOKUP(B19,拍照客户_业务级!$A$9:$KF$30,251,FALSE)</f>
        <v>99.8373647341157</v>
      </c>
      <c r="X19" s="39">
        <f>VLOOKUP(B19,拍照客户_业务级!$A$9:$KF$30,253,FALSE)</f>
        <v>-0.177079866448217</v>
      </c>
      <c r="Y19" s="39">
        <f>VLOOKUP(B19,拍照客户_业务级!$A$9:$KF$30,252,FALSE)</f>
        <v>-2.88786689373413</v>
      </c>
      <c r="Z19" s="48">
        <f>VLOOKUP(B19,拍照客户_业务级!$A$9:$KF$30,204,FALSE)</f>
        <v>113.823358629144</v>
      </c>
      <c r="AA19" s="39">
        <f>VLOOKUP(B19,拍照客户_业务级!$A$9:$KF$30,206,FALSE)</f>
        <v>3.03966995395388</v>
      </c>
      <c r="AB19" s="39">
        <f>VLOOKUP(B19,拍照客户_业务级!$A$9:$KF$30,205,FALSE)</f>
        <v>9.84547057154339</v>
      </c>
      <c r="AC19" s="39">
        <f>VLOOKUP(B19,拍照客户_业务级!$A$9:$KF$30,78,FALSE)</f>
        <v>94.5756511029811</v>
      </c>
      <c r="AD19" s="39">
        <f>VLOOKUP(B19,拍照客户_业务级!$A$9:$KF$30,80,FALSE)</f>
        <v>-0.612163581700298</v>
      </c>
      <c r="AE19" s="39">
        <f>VLOOKUP(B19,拍照客户_业务级!$A$9:$KF$30,79,FALSE)</f>
        <v>0.763615287058317</v>
      </c>
      <c r="AF19" s="48">
        <f>VLOOKUP(B19,拍照客户_业务级!$A$9:$KF$30,213,FALSE)</f>
        <v>107.230781407018</v>
      </c>
      <c r="AG19" s="39">
        <f>VLOOKUP(B19,拍照客户_业务级!$A$9:$KF$30,215,FALSE)</f>
        <v>-0.788592440263766</v>
      </c>
      <c r="AH19" s="39">
        <f>VLOOKUP(B19,拍照客户_业务级!$A$9:$KF$30,214,FALSE)</f>
        <v>14.3900100401539</v>
      </c>
      <c r="AI19" s="39">
        <f>VLOOKUP(B19,拍照客户_业务级!$A$9:$KF$30,94,FALSE)</f>
        <v>92.8127830249709</v>
      </c>
      <c r="AJ19" s="39">
        <f>VLOOKUP(B19,拍照客户_业务级!$A$9:$KF$30,96,FALSE)</f>
        <v>0.933712856341917</v>
      </c>
      <c r="AK19" s="39">
        <f>VLOOKUP(B19,拍照客户_业务级!$A$9:$KF$30,95,FALSE)</f>
        <v>-11.9799843813928</v>
      </c>
      <c r="AL19" s="48">
        <f>VLOOKUP(B19,拍照客户_业务级!$A$9:$KF$30,221,FALSE)</f>
        <v>106.557719759796</v>
      </c>
      <c r="AM19" s="39">
        <f>VLOOKUP(B19,拍照客户_业务级!$A$9:$KF$30,223,FALSE)</f>
        <v>0.121622322035431</v>
      </c>
      <c r="AN19" s="39">
        <f>VLOOKUP(B19,拍照客户_业务级!$A$9:$KF$30,222,FALSE)</f>
        <v>0.535142506343456</v>
      </c>
      <c r="AO19" s="39">
        <f>VLOOKUP(B19,拍照客户_业务级!$A$9:$KF$30,108,FALSE)</f>
        <v>91.6524395722886</v>
      </c>
      <c r="AP19" s="39">
        <f>VLOOKUP(B19,拍照客户_业务级!$A$9:$KF$30,110,FALSE)</f>
        <v>-2.23739778955881</v>
      </c>
      <c r="AQ19" s="39">
        <f>VLOOKUP(B19,拍照客户_业务级!$A$9:$KF$30,109,FALSE)</f>
        <v>-0.982558397666722</v>
      </c>
      <c r="AR19" s="48">
        <f>VLOOKUP(B19,拍照客户_业务级!$A$9:$KF$30,227,FALSE)</f>
        <v>78.0257294886817</v>
      </c>
      <c r="AS19" s="39">
        <f>VLOOKUP(B19,拍照客户_业务级!$A$9:$KF$30,229,FALSE)</f>
        <v>-4.00626718587558</v>
      </c>
      <c r="AT19" s="39">
        <f>VLOOKUP(B19,拍照客户_业务级!$A$9:$KF$30,228,FALSE)</f>
        <v>-28.801276787733</v>
      </c>
      <c r="AU19" s="39">
        <f>VLOOKUP(B19,拍照客户_业务级!$A$9:$KF$30,118,FALSE)</f>
        <v>95.8557962626096</v>
      </c>
      <c r="AV19" s="39">
        <f>VLOOKUP(B19,拍照客户_业务级!$A$9:$KF$30,120,FALSE)</f>
        <v>-0.195138085000823</v>
      </c>
      <c r="AW19" s="39">
        <f>VLOOKUP(B19,拍照客户_业务级!$A$9:$KF$30,119,FALSE)</f>
        <v>-0.522309449080138</v>
      </c>
      <c r="AX19" s="48">
        <f>VLOOKUP(B19,拍照客户_业务级!$A$9:$KF$30,254,FALSE)</f>
        <v>101.689731036883</v>
      </c>
      <c r="AY19" s="39">
        <f>VLOOKUP(B19,拍照客户_业务级!$A$9:$KF$30,256,FALSE)</f>
        <v>1.46133460414102</v>
      </c>
      <c r="AZ19" s="39">
        <f>VLOOKUP(B19,拍照客户_业务级!$A$9:$KF$30,255,FALSE)</f>
        <v>9.970272363518</v>
      </c>
      <c r="BA19" s="48">
        <f>VLOOKUP(B19,拍照客户_业务级!$A$9:$KF$30,233,FALSE)</f>
        <v>100.134287819937</v>
      </c>
      <c r="BB19" s="39">
        <f>VLOOKUP(B19,拍照客户_业务级!$A$9:$KF$30,235,FALSE)</f>
        <v>-0.0330622767007238</v>
      </c>
      <c r="BC19" s="39">
        <f>VLOOKUP(B19,拍照客户_业务级!$A$9:$KF$30,234,FALSE)</f>
        <v>6.82945408900406</v>
      </c>
      <c r="BD19" s="39">
        <f>VLOOKUP(B19,拍照客户_业务级!$A$9:$KF$30,123,FALSE)</f>
        <v>136.331360946746</v>
      </c>
      <c r="BE19" s="39">
        <f>VLOOKUP(B19,拍照客户_业务级!$A$9:$KF$30,125,FALSE)</f>
        <v>11.1242603550296</v>
      </c>
      <c r="BF19" s="39">
        <f>VLOOKUP(B19,拍照客户_业务级!$A$9:$KF$30,124,FALSE)</f>
        <v>39.1582160704205</v>
      </c>
      <c r="BG19" s="48">
        <f>VLOOKUP(B19,拍照客户_业务级!$A$9:$KF$30,239,FALSE)</f>
        <v>103.01478505732</v>
      </c>
      <c r="BH19" s="39">
        <f>VLOOKUP(B19,拍照客户_业务级!$A$9:$KF$30,241,FALSE)</f>
        <v>2.73438435196586</v>
      </c>
      <c r="BI19" s="39">
        <f>VLOOKUP(B19,拍照客户_业务级!$A$9:$KF$30,240,FALSE)</f>
        <v>12.5524618082088</v>
      </c>
      <c r="BJ19" s="39">
        <f>VLOOKUP(B19,拍照客户_业务级!$A$9:$KF$30,128,FALSE)</f>
        <v>84.2773685547371</v>
      </c>
      <c r="BK19" s="39">
        <f>VLOOKUP(B19,拍照客户_业务级!$A$9:$KF$30,130,FALSE)</f>
        <v>0</v>
      </c>
      <c r="BL19" s="39">
        <f>VLOOKUP(B19,拍照客户_业务级!$A$9:$KF$30,129,FALSE)</f>
        <v>-11.8854350384757</v>
      </c>
      <c r="BM19" s="48">
        <f>VLOOKUP(B19,拍照客户_业务级!$A$9:$KF$30,245,FALSE)</f>
        <v>112.614490426751</v>
      </c>
      <c r="BN19" s="48">
        <f>VLOOKUP(B19,拍照客户_业务级!$A$9:$KF$30,247,FALSE)</f>
        <v>0.780319407857074</v>
      </c>
      <c r="BO19" s="48">
        <f>VLOOKUP(B19,拍照客户_业务级!$A$9:$KF$30,246,FALSE)</f>
        <v>-1.78095184455474</v>
      </c>
    </row>
    <row r="20" ht="13.5" spans="1:67">
      <c r="A20" s="49" t="s">
        <v>64</v>
      </c>
      <c r="B20" s="23" t="s">
        <v>65</v>
      </c>
      <c r="C20" s="24">
        <f>ROUND(VLOOKUP(B20,拍照客户_客户级!$A$2:$BX$27,28,FALSE)/10000,3)</f>
        <v>54.77</v>
      </c>
      <c r="D20" s="25">
        <f>ROUND(VLOOKUP(B20,拍照客户_客户级!$A$2:$BX$27,29,FALSE)/10000,3)</f>
        <v>2219.793</v>
      </c>
      <c r="E20" s="25">
        <f>ROUND(VLOOKUP(B20,拍照客户_客户级!$A$2:$BX$27,30,FALSE)/10000,3)</f>
        <v>-2185.717</v>
      </c>
      <c r="F20" s="25">
        <f>ROUND(VLOOKUP(B20,拍照客户_客户级!$A$2:$BX$27,33,FALSE)/10000,3)</f>
        <v>-112.864</v>
      </c>
      <c r="G20" s="25">
        <f>ROUND(VLOOKUP(B20,拍照客户_客户级!$A$2:$BX$27,31,FALSE)/10000,3)</f>
        <v>126.682</v>
      </c>
      <c r="H20" s="25">
        <f>ROUND(VLOOKUP(B20,拍照客户_客户级!$A$2:$BX$27,32,FALSE)/10000,3)</f>
        <v>6.876</v>
      </c>
      <c r="I20" s="26">
        <f>VLOOKUP(B20,拍照客户_客户级!$A$2:$BX$27,13,FALSE)</f>
        <v>91.8574124210353</v>
      </c>
      <c r="J20" s="26">
        <f>VLOOKUP(B20,拍照客户_客户级!$A$2:$BX$27,15,FALSE)</f>
        <v>-0.624880356605684</v>
      </c>
      <c r="K20" s="26">
        <f>VLOOKUP(B20,拍照客户_客户级!$A$2:$BX$27,14,FALSE)</f>
        <v>0.954751635788631</v>
      </c>
      <c r="L20" s="26">
        <f>VLOOKUP(B20,拍照客户_客户级!$A$2:$BX$27,34,FALSE)</f>
        <v>100.394570526657</v>
      </c>
      <c r="M20" s="26">
        <f>VLOOKUP(B20,拍照客户_客户级!$A$2:$BX$27,36,FALSE)</f>
        <v>-1.70153249830073</v>
      </c>
      <c r="N20" s="26">
        <f>VLOOKUP(B20,拍照客户_客户级!$A$2:$BX$27,35,FALSE)</f>
        <v>0.676477181778861</v>
      </c>
      <c r="O20" s="27">
        <f>VLOOKUP(B20,拍照客户_客户级!$A$2:$BX$27,49,FALSE)</f>
        <v>-1.55035994169015</v>
      </c>
      <c r="P20" s="27">
        <f>VLOOKUP(B20,拍照客户_客户级!$A$2:$BX$27,50,FALSE)</f>
        <v>-0.566088553758269</v>
      </c>
      <c r="Q20" s="27">
        <f>VLOOKUP(B20,拍照客户_客户级!$A$2:$BX$27,51,FALSE)</f>
        <v>15.5141796016591</v>
      </c>
      <c r="R20" s="27">
        <f>VLOOKUP(B20,拍照客户_客户级!$A$2:$BX$27,52,FALSE)</f>
        <v>-16.154972822109</v>
      </c>
      <c r="S20" s="27">
        <f>VLOOKUP(B20,拍照客户_客户级!$A$2:$BX$27,55,FALSE)</f>
        <v>-0.984271387931871</v>
      </c>
      <c r="T20" s="26">
        <f>VLOOKUP(B20,拍照客户_业务级!$A$9:$KF$30,282,FALSE)</f>
        <v>-0.802762984239355</v>
      </c>
      <c r="U20" s="26">
        <f>VLOOKUP(B20,拍照客户_业务级!$A$9:$KF$30,284,FALSE)</f>
        <v>0.358004500557603</v>
      </c>
      <c r="V20" s="26">
        <f>VLOOKUP(B20,拍照客户_业务级!$A$9:$KF$30,285,FALSE)</f>
        <v>-1.58816478687111</v>
      </c>
      <c r="W20" s="26">
        <f>VLOOKUP(B20,拍照客户_业务级!$A$9:$KF$30,251,FALSE)</f>
        <v>102.249087430842</v>
      </c>
      <c r="X20" s="27">
        <f>VLOOKUP(B20,拍照客户_业务级!$A$9:$KF$30,253,FALSE)</f>
        <v>-1.1872735595859</v>
      </c>
      <c r="Y20" s="27">
        <f>VLOOKUP(B20,拍照客户_业务级!$A$9:$KF$30,252,FALSE)</f>
        <v>2.09238250231136</v>
      </c>
      <c r="Z20" s="26">
        <f>VLOOKUP(B20,拍照客户_业务级!$A$9:$KF$30,204,FALSE)</f>
        <v>105.352671694958</v>
      </c>
      <c r="AA20" s="27">
        <f>VLOOKUP(B20,拍照客户_业务级!$A$9:$KF$30,206,FALSE)</f>
        <v>-0.371539698420678</v>
      </c>
      <c r="AB20" s="27">
        <f>VLOOKUP(B20,拍照客户_业务级!$A$9:$KF$30,205,FALSE)</f>
        <v>4.82458218239407</v>
      </c>
      <c r="AC20" s="27">
        <f>VLOOKUP(B20,拍照客户_业务级!$A$9:$KF$30,78,FALSE)</f>
        <v>91.5280598345634</v>
      </c>
      <c r="AD20" s="27">
        <f>VLOOKUP(B20,拍照客户_业务级!$A$9:$KF$30,80,FALSE)</f>
        <v>-1.22641042151667</v>
      </c>
      <c r="AE20" s="27">
        <f>VLOOKUP(B20,拍照客户_业务级!$A$9:$KF$30,79,FALSE)</f>
        <v>1.6182163326355</v>
      </c>
      <c r="AF20" s="26">
        <f>VLOOKUP(B20,拍照客户_业务级!$A$9:$KF$30,213,FALSE)</f>
        <v>109.555383345514</v>
      </c>
      <c r="AG20" s="27">
        <f>VLOOKUP(B20,拍照客户_业务级!$A$9:$KF$30,215,FALSE)</f>
        <v>-1.43281488118326</v>
      </c>
      <c r="AH20" s="27">
        <f>VLOOKUP(B20,拍照客户_业务级!$A$9:$KF$30,214,FALSE)</f>
        <v>3.20814737297534</v>
      </c>
      <c r="AI20" s="27">
        <f>VLOOKUP(B20,拍照客户_业务级!$A$9:$KF$30,94,FALSE)</f>
        <v>89.4875346260388</v>
      </c>
      <c r="AJ20" s="27">
        <f>VLOOKUP(B20,拍照客户_业务级!$A$9:$KF$30,96,FALSE)</f>
        <v>-1.40062326869806</v>
      </c>
      <c r="AK20" s="27">
        <f>VLOOKUP(B20,拍照客户_业务级!$A$9:$KF$30,95,FALSE)</f>
        <v>-14.0663773409919</v>
      </c>
      <c r="AL20" s="26">
        <f>VLOOKUP(B20,拍照客户_业务级!$A$9:$KF$30,221,FALSE)</f>
        <v>95.0711644542933</v>
      </c>
      <c r="AM20" s="27">
        <f>VLOOKUP(B20,拍照客户_业务级!$A$9:$KF$30,223,FALSE)</f>
        <v>-0.0241248741642774</v>
      </c>
      <c r="AN20" s="27">
        <f>VLOOKUP(B20,拍照客户_业务级!$A$9:$KF$30,222,FALSE)</f>
        <v>-12.5345546745919</v>
      </c>
      <c r="AO20" s="27">
        <f>VLOOKUP(B20,拍照客户_业务级!$A$9:$KF$30,108,FALSE)</f>
        <v>95.8454202927545</v>
      </c>
      <c r="AP20" s="27">
        <f>VLOOKUP(B20,拍照客户_业务级!$A$9:$KF$30,110,FALSE)</f>
        <v>-1.29705578340169</v>
      </c>
      <c r="AQ20" s="27">
        <f>VLOOKUP(B20,拍照客户_业务级!$A$9:$KF$30,109,FALSE)</f>
        <v>-2.94372103919004</v>
      </c>
      <c r="AR20" s="26">
        <f>VLOOKUP(B20,拍照客户_业务级!$A$9:$KF$30,227,FALSE)</f>
        <v>92.2595342254577</v>
      </c>
      <c r="AS20" s="27">
        <f>VLOOKUP(B20,拍照客户_业务级!$A$9:$KF$30,229,FALSE)</f>
        <v>-2.43228480671793</v>
      </c>
      <c r="AT20" s="27">
        <f>VLOOKUP(B20,拍照客户_业务级!$A$9:$KF$30,228,FALSE)</f>
        <v>-0.998347224856533</v>
      </c>
      <c r="AU20" s="27">
        <f>VLOOKUP(B20,拍照客户_业务级!$A$9:$KF$30,118,FALSE)</f>
        <v>96.9304133523012</v>
      </c>
      <c r="AV20" s="27">
        <f>VLOOKUP(B20,拍照客户_业务级!$A$9:$KF$30,120,FALSE)</f>
        <v>-0.19836101705103</v>
      </c>
      <c r="AW20" s="27">
        <f>VLOOKUP(B20,拍照客户_业务级!$A$9:$KF$30,119,FALSE)</f>
        <v>0.375665413021808</v>
      </c>
      <c r="AX20" s="26">
        <f>VLOOKUP(B20,拍照客户_业务级!$A$9:$KF$30,254,FALSE)</f>
        <v>101.003082111121</v>
      </c>
      <c r="AY20" s="27">
        <f>VLOOKUP(B20,拍照客户_业务级!$A$9:$KF$30,256,FALSE)</f>
        <v>-2.71060939980219</v>
      </c>
      <c r="AZ20" s="27">
        <f>VLOOKUP(B20,拍照客户_业务级!$A$9:$KF$30,255,FALSE)</f>
        <v>7.49653561723673</v>
      </c>
      <c r="BA20" s="26">
        <f>VLOOKUP(B20,拍照客户_业务级!$A$9:$KF$30,233,FALSE)</f>
        <v>99.6153215713123</v>
      </c>
      <c r="BB20" s="27">
        <f>VLOOKUP(B20,拍照客户_业务级!$A$9:$KF$30,235,FALSE)</f>
        <v>-1.40557803741782</v>
      </c>
      <c r="BC20" s="27">
        <f>VLOOKUP(B20,拍照客户_业务级!$A$9:$KF$30,234,FALSE)</f>
        <v>5.16067191735633</v>
      </c>
      <c r="BD20" s="27">
        <f>VLOOKUP(B20,拍照客户_业务级!$A$9:$KF$30,123,FALSE)</f>
        <v>84.4407530454042</v>
      </c>
      <c r="BE20" s="27">
        <f>VLOOKUP(B20,拍照客户_业务级!$A$9:$KF$30,125,FALSE)</f>
        <v>-2.82392026578073</v>
      </c>
      <c r="BF20" s="27">
        <f>VLOOKUP(B20,拍照客户_业务级!$A$9:$KF$30,124,FALSE)</f>
        <v>-13.4747072904383</v>
      </c>
      <c r="BG20" s="26">
        <f>VLOOKUP(B20,拍照客户_业务级!$A$9:$KF$30,239,FALSE)</f>
        <v>101.86270397307</v>
      </c>
      <c r="BH20" s="27">
        <f>VLOOKUP(B20,拍照客户_业务级!$A$9:$KF$30,241,FALSE)</f>
        <v>-3.51898624685563</v>
      </c>
      <c r="BI20" s="27">
        <f>VLOOKUP(B20,拍照客户_业务级!$A$9:$KF$30,240,FALSE)</f>
        <v>9.12546652062696</v>
      </c>
      <c r="BJ20" s="27">
        <f>VLOOKUP(B20,拍照客户_业务级!$A$9:$KF$30,128,FALSE)</f>
        <v>104.096533702252</v>
      </c>
      <c r="BK20" s="27">
        <f>VLOOKUP(B20,拍照客户_业务级!$A$9:$KF$30,130,FALSE)</f>
        <v>0.672507877949413</v>
      </c>
      <c r="BL20" s="27">
        <f>VLOOKUP(B20,拍照客户_业务级!$A$9:$KF$30,129,FALSE)</f>
        <v>-3.25468096405348</v>
      </c>
      <c r="BM20" s="26">
        <f>VLOOKUP(B20,拍照客户_业务级!$A$9:$KF$30,245,FALSE)</f>
        <v>92.308563392801</v>
      </c>
      <c r="BN20" s="26">
        <f>VLOOKUP(B20,拍照客户_业务级!$A$9:$KF$30,247,FALSE)</f>
        <v>-0.514344065970046</v>
      </c>
      <c r="BO20" s="26">
        <f>VLOOKUP(B20,拍照客户_业务级!$A$9:$KF$30,246,FALSE)</f>
        <v>-26.7582458690183</v>
      </c>
    </row>
    <row r="21" ht="13.5" spans="1:67">
      <c r="A21" s="50"/>
      <c r="B21" s="29" t="s">
        <v>66</v>
      </c>
      <c r="C21" s="30">
        <f>ROUND(VLOOKUP(B21,拍照客户_客户级!$A$2:$BX$27,28,FALSE)/10000,3)</f>
        <v>432.125</v>
      </c>
      <c r="D21" s="31">
        <f>ROUND(VLOOKUP(B21,拍照客户_客户级!$A$2:$BX$27,29,FALSE)/10000,3)</f>
        <v>1793.078</v>
      </c>
      <c r="E21" s="31">
        <f>ROUND(VLOOKUP(B21,拍照客户_客户级!$A$2:$BX$27,30,FALSE)/10000,3)</f>
        <v>-1285.915</v>
      </c>
      <c r="F21" s="31">
        <f>ROUND(VLOOKUP(B21,拍照客户_客户级!$A$2:$BX$27,33,FALSE)/10000,3)</f>
        <v>-182.546</v>
      </c>
      <c r="G21" s="31">
        <f>ROUND(VLOOKUP(B21,拍照客户_客户级!$A$2:$BX$27,31,FALSE)/10000,3)</f>
        <v>115.031</v>
      </c>
      <c r="H21" s="31">
        <f>ROUND(VLOOKUP(B21,拍照客户_客户级!$A$2:$BX$27,32,FALSE)/10000,3)</f>
        <v>-7.523</v>
      </c>
      <c r="I21" s="32">
        <f>VLOOKUP(B21,拍照客户_客户级!$A$2:$BX$27,13,FALSE)</f>
        <v>88.2989347536618</v>
      </c>
      <c r="J21" s="32">
        <f>VLOOKUP(B21,拍照客户_客户级!$A$2:$BX$27,15,FALSE)</f>
        <v>-0.894960565399983</v>
      </c>
      <c r="K21" s="32">
        <f>VLOOKUP(B21,拍照客户_客户级!$A$2:$BX$27,14,FALSE)</f>
        <v>-2.17926318627891</v>
      </c>
      <c r="L21" s="32">
        <f>VLOOKUP(B21,拍照客户_客户级!$A$2:$BX$27,34,FALSE)</f>
        <v>102.982950960825</v>
      </c>
      <c r="M21" s="32">
        <f>VLOOKUP(B21,拍照客户_客户级!$A$2:$BX$27,36,FALSE)</f>
        <v>-0.121808838981829</v>
      </c>
      <c r="N21" s="32">
        <f>VLOOKUP(B21,拍照客户_客户级!$A$2:$BX$27,35,FALSE)</f>
        <v>1.62164620325017</v>
      </c>
      <c r="O21" s="33">
        <f>VLOOKUP(B21,拍照客户_客户级!$A$2:$BX$27,49,FALSE)</f>
        <v>1.40469628105302</v>
      </c>
      <c r="P21" s="33">
        <f>VLOOKUP(B21,拍照客户_客户级!$A$2:$BX$27,50,FALSE)</f>
        <v>3.20219366209075</v>
      </c>
      <c r="Q21" s="33">
        <f>VLOOKUP(B21,拍照客户_客户级!$A$2:$BX$27,51,FALSE)</f>
        <v>12.0415600061813</v>
      </c>
      <c r="R21" s="33">
        <f>VLOOKUP(B21,拍照客户_客户级!$A$2:$BX$27,52,FALSE)</f>
        <v>-8.95555858351761</v>
      </c>
      <c r="S21" s="33">
        <f>VLOOKUP(B21,拍照客户_客户级!$A$2:$BX$27,55,FALSE)</f>
        <v>-1.79749738103769</v>
      </c>
      <c r="T21" s="32">
        <f>VLOOKUP(B21,拍照客户_业务级!$A$9:$KF$30,282,FALSE)</f>
        <v>1.0168764039073</v>
      </c>
      <c r="U21" s="32">
        <f>VLOOKUP(B21,拍照客户_业务级!$A$9:$KF$30,284,FALSE)</f>
        <v>-0.563995321620572</v>
      </c>
      <c r="V21" s="32">
        <f>VLOOKUP(B21,拍照客户_业务级!$A$9:$KF$30,285,FALSE)</f>
        <v>2.8823976046648</v>
      </c>
      <c r="W21" s="32">
        <f>VLOOKUP(B21,拍照客户_业务级!$A$9:$KF$30,251,FALSE)</f>
        <v>104.397920788278</v>
      </c>
      <c r="X21" s="33">
        <f>VLOOKUP(B21,拍照客户_业务级!$A$9:$KF$30,253,FALSE)</f>
        <v>-0.922603942998834</v>
      </c>
      <c r="Y21" s="33">
        <f>VLOOKUP(B21,拍照客户_业务级!$A$9:$KF$30,252,FALSE)</f>
        <v>2.23464601561256</v>
      </c>
      <c r="Z21" s="32">
        <f>VLOOKUP(B21,拍照客户_业务级!$A$9:$KF$30,204,FALSE)</f>
        <v>105.113502373688</v>
      </c>
      <c r="AA21" s="33">
        <f>VLOOKUP(B21,拍照客户_业务级!$A$9:$KF$30,206,FALSE)</f>
        <v>-0.558608810300854</v>
      </c>
      <c r="AB21" s="33">
        <f>VLOOKUP(B21,拍照客户_业务级!$A$9:$KF$30,205,FALSE)</f>
        <v>0.0369848218007397</v>
      </c>
      <c r="AC21" s="33">
        <f>VLOOKUP(B21,拍照客户_业务级!$A$9:$KF$30,78,FALSE)</f>
        <v>91.0584176929525</v>
      </c>
      <c r="AD21" s="33">
        <f>VLOOKUP(B21,拍照客户_业务级!$A$9:$KF$30,80,FALSE)</f>
        <v>-0.596427880585471</v>
      </c>
      <c r="AE21" s="33">
        <f>VLOOKUP(B21,拍照客户_业务级!$A$9:$KF$30,79,FALSE)</f>
        <v>-4.52379825623596</v>
      </c>
      <c r="AF21" s="32">
        <f>VLOOKUP(B21,拍照客户_业务级!$A$9:$KF$30,213,FALSE)</f>
        <v>111.486323373343</v>
      </c>
      <c r="AG21" s="33">
        <f>VLOOKUP(B21,拍照客户_业务级!$A$9:$KF$30,215,FALSE)</f>
        <v>-1.97807818296589</v>
      </c>
      <c r="AH21" s="33">
        <f>VLOOKUP(B21,拍照客户_业务级!$A$9:$KF$30,214,FALSE)</f>
        <v>9.97493881819305</v>
      </c>
      <c r="AI21" s="33">
        <f>VLOOKUP(B21,拍照客户_业务级!$A$9:$KF$30,94,FALSE)</f>
        <v>101.988866100205</v>
      </c>
      <c r="AJ21" s="33">
        <f>VLOOKUP(B21,拍照客户_业务级!$A$9:$KF$30,96,FALSE)</f>
        <v>11.6554351010841</v>
      </c>
      <c r="AK21" s="33">
        <f>VLOOKUP(B21,拍照客户_业务级!$A$9:$KF$30,95,FALSE)</f>
        <v>-5.11488623137601</v>
      </c>
      <c r="AL21" s="32">
        <f>VLOOKUP(B21,拍照客户_业务级!$A$9:$KF$30,221,FALSE)</f>
        <v>101.442323377511</v>
      </c>
      <c r="AM21" s="33">
        <f>VLOOKUP(B21,拍照客户_业务级!$A$9:$KF$30,223,FALSE)</f>
        <v>-0.483105932223087</v>
      </c>
      <c r="AN21" s="33">
        <f>VLOOKUP(B21,拍照客户_业务级!$A$9:$KF$30,222,FALSE)</f>
        <v>-2.22283434257547</v>
      </c>
      <c r="AO21" s="33">
        <f>VLOOKUP(B21,拍照客户_业务级!$A$9:$KF$30,108,FALSE)</f>
        <v>88.9600970540918</v>
      </c>
      <c r="AP21" s="33">
        <f>VLOOKUP(B21,拍照客户_业务级!$A$9:$KF$30,110,FALSE)</f>
        <v>-3.34150908563441</v>
      </c>
      <c r="AQ21" s="33">
        <f>VLOOKUP(B21,拍照客户_业务级!$A$9:$KF$30,109,FALSE)</f>
        <v>-7.24417314193763</v>
      </c>
      <c r="AR21" s="32">
        <f>VLOOKUP(B21,拍照客户_业务级!$A$9:$KF$30,227,FALSE)</f>
        <v>95.2693056872942</v>
      </c>
      <c r="AS21" s="33">
        <f>VLOOKUP(B21,拍照客户_业务级!$A$9:$KF$30,229,FALSE)</f>
        <v>-0.549450332222034</v>
      </c>
      <c r="AT21" s="33">
        <f>VLOOKUP(B21,拍照客户_业务级!$A$9:$KF$30,228,FALSE)</f>
        <v>-1.73204632140486</v>
      </c>
      <c r="AU21" s="33">
        <f>VLOOKUP(B21,拍照客户_业务级!$A$9:$KF$30,118,FALSE)</f>
        <v>96.0375196525169</v>
      </c>
      <c r="AV21" s="33">
        <f>VLOOKUP(B21,拍照客户_业务级!$A$9:$KF$30,120,FALSE)</f>
        <v>-0.726143843099636</v>
      </c>
      <c r="AW21" s="33">
        <f>VLOOKUP(B21,拍照客户_业务级!$A$9:$KF$30,119,FALSE)</f>
        <v>-0.160382463146158</v>
      </c>
      <c r="AX21" s="32">
        <f>VLOOKUP(B21,拍照客户_业务级!$A$9:$KF$30,254,FALSE)</f>
        <v>98.3623210500247</v>
      </c>
      <c r="AY21" s="33">
        <f>VLOOKUP(B21,拍照客户_业务级!$A$9:$KF$30,256,FALSE)</f>
        <v>0.394558270539018</v>
      </c>
      <c r="AZ21" s="33">
        <f>VLOOKUP(B21,拍照客户_业务级!$A$9:$KF$30,255,FALSE)</f>
        <v>-0.492041852374392</v>
      </c>
      <c r="BA21" s="32">
        <f>VLOOKUP(B21,拍照客户_业务级!$A$9:$KF$30,233,FALSE)</f>
        <v>98.3992147465443</v>
      </c>
      <c r="BB21" s="33">
        <f>VLOOKUP(B21,拍照客户_业务级!$A$9:$KF$30,235,FALSE)</f>
        <v>0.871449228026957</v>
      </c>
      <c r="BC21" s="33">
        <f>VLOOKUP(B21,拍照客户_业务级!$A$9:$KF$30,234,FALSE)</f>
        <v>-7.27331783859922</v>
      </c>
      <c r="BD21" s="33">
        <f>VLOOKUP(B21,拍照客户_业务级!$A$9:$KF$30,123,FALSE)</f>
        <v>101.733531451213</v>
      </c>
      <c r="BE21" s="33">
        <f>VLOOKUP(B21,拍照客户_业务级!$A$9:$KF$30,125,FALSE)</f>
        <v>0.941059930658739</v>
      </c>
      <c r="BF21" s="33">
        <f>VLOOKUP(B21,拍照客户_业务级!$A$9:$KF$30,124,FALSE)</f>
        <v>2.64538555455693</v>
      </c>
      <c r="BG21" s="32">
        <f>VLOOKUP(B21,拍照客户_业务级!$A$9:$KF$30,239,FALSE)</f>
        <v>98.3293260928091</v>
      </c>
      <c r="BH21" s="33">
        <f>VLOOKUP(B21,拍照客户_业务级!$A$9:$KF$30,241,FALSE)</f>
        <v>-0.0319372618479198</v>
      </c>
      <c r="BI21" s="33">
        <f>VLOOKUP(B21,拍照客户_业务级!$A$9:$KF$30,240,FALSE)</f>
        <v>5.52312084310842</v>
      </c>
      <c r="BJ21" s="33">
        <f>VLOOKUP(B21,拍照客户_业务级!$A$9:$KF$30,128,FALSE)</f>
        <v>97.1168345497316</v>
      </c>
      <c r="BK21" s="33">
        <f>VLOOKUP(B21,拍照客户_业务级!$A$9:$KF$30,130,FALSE)</f>
        <v>-0.530791965739785</v>
      </c>
      <c r="BL21" s="33">
        <f>VLOOKUP(B21,拍照客户_业务级!$A$9:$KF$30,129,FALSE)</f>
        <v>-8.1431042881889</v>
      </c>
      <c r="BM21" s="32">
        <f>VLOOKUP(B21,拍照客户_业务级!$A$9:$KF$30,245,FALSE)</f>
        <v>110.286038983269</v>
      </c>
      <c r="BN21" s="32">
        <f>VLOOKUP(B21,拍照客户_业务级!$A$9:$KF$30,247,FALSE)</f>
        <v>2.91780523950631</v>
      </c>
      <c r="BO21" s="32">
        <f>VLOOKUP(B21,拍照客户_业务级!$A$9:$KF$30,246,FALSE)</f>
        <v>5.17457578390197</v>
      </c>
    </row>
    <row r="22" ht="13.5" spans="1:67">
      <c r="A22" s="50"/>
      <c r="B22" s="29" t="s">
        <v>67</v>
      </c>
      <c r="C22" s="30">
        <f>ROUND(VLOOKUP(B22,拍照客户_客户级!$A$2:$BX$27,28,FALSE)/10000,3)</f>
        <v>-147.196</v>
      </c>
      <c r="D22" s="31">
        <f>ROUND(VLOOKUP(B22,拍照客户_客户级!$A$2:$BX$27,29,FALSE)/10000,3)</f>
        <v>1161.26</v>
      </c>
      <c r="E22" s="31">
        <f>ROUND(VLOOKUP(B22,拍照客户_客户级!$A$2:$BX$27,30,FALSE)/10000,3)</f>
        <v>-1285.156</v>
      </c>
      <c r="F22" s="31">
        <f>ROUND(VLOOKUP(B22,拍照客户_客户级!$A$2:$BX$27,33,FALSE)/10000,3)</f>
        <v>-47.89</v>
      </c>
      <c r="G22" s="31">
        <f>ROUND(VLOOKUP(B22,拍照客户_客户级!$A$2:$BX$27,31,FALSE)/10000,3)</f>
        <v>37.974</v>
      </c>
      <c r="H22" s="31">
        <f>ROUND(VLOOKUP(B22,拍照客户_客户级!$A$2:$BX$27,32,FALSE)/10000,3)</f>
        <v>-13.384</v>
      </c>
      <c r="I22" s="32">
        <f>VLOOKUP(B22,拍照客户_客户级!$A$2:$BX$27,13,FALSE)</f>
        <v>92.8126127054459</v>
      </c>
      <c r="J22" s="32">
        <f>VLOOKUP(B22,拍照客户_客户级!$A$2:$BX$27,15,FALSE)</f>
        <v>-0.754804472152093</v>
      </c>
      <c r="K22" s="32">
        <f>VLOOKUP(B22,拍照客户_客户级!$A$2:$BX$27,14,FALSE)</f>
        <v>2.63687226056453</v>
      </c>
      <c r="L22" s="32">
        <f>VLOOKUP(B22,拍照客户_客户级!$A$2:$BX$27,34,FALSE)</f>
        <v>98.4985215111271</v>
      </c>
      <c r="M22" s="32">
        <f>VLOOKUP(B22,拍照客户_客户级!$A$2:$BX$27,36,FALSE)</f>
        <v>-0.643966554275699</v>
      </c>
      <c r="N22" s="32">
        <f>VLOOKUP(B22,拍照客户_客户级!$A$2:$BX$27,35,FALSE)</f>
        <v>-5.25657957226923</v>
      </c>
      <c r="O22" s="33">
        <f>VLOOKUP(B22,拍照客户_客户级!$A$2:$BX$27,49,FALSE)</f>
        <v>-1.90743222633044</v>
      </c>
      <c r="P22" s="33">
        <f>VLOOKUP(B22,拍照客户_客户级!$A$2:$BX$27,50,FALSE)</f>
        <v>-1.3461432775493</v>
      </c>
      <c r="Q22" s="33">
        <f>VLOOKUP(B22,拍照客户_客户级!$A$2:$BX$27,51,FALSE)</f>
        <v>11.7547924880168</v>
      </c>
      <c r="R22" s="33">
        <f>VLOOKUP(B22,拍照客户_客户级!$A$2:$BX$27,52,FALSE)</f>
        <v>-13.1689138681539</v>
      </c>
      <c r="S22" s="33">
        <f>VLOOKUP(B22,拍照客户_客户级!$A$2:$BX$27,55,FALSE)</f>
        <v>-0.561288948781117</v>
      </c>
      <c r="T22" s="32">
        <f>VLOOKUP(B22,拍照客户_业务级!$A$9:$KF$30,282,FALSE)</f>
        <v>-1.44419513695014</v>
      </c>
      <c r="U22" s="32">
        <f>VLOOKUP(B22,拍照客户_业务级!$A$9:$KF$30,284,FALSE)</f>
        <v>-2.50624349806357</v>
      </c>
      <c r="V22" s="32">
        <f>VLOOKUP(B22,拍照客户_业务级!$A$9:$KF$30,285,FALSE)</f>
        <v>1.95450371404593</v>
      </c>
      <c r="W22" s="32">
        <f>VLOOKUP(B22,拍照客户_业务级!$A$9:$KF$30,251,FALSE)</f>
        <v>97.6692222291462</v>
      </c>
      <c r="X22" s="33">
        <f>VLOOKUP(B22,拍照客户_业务级!$A$9:$KF$30,253,FALSE)</f>
        <v>-0.560257492624061</v>
      </c>
      <c r="Y22" s="33">
        <f>VLOOKUP(B22,拍照客户_业务级!$A$9:$KF$30,252,FALSE)</f>
        <v>-2.37924373050826</v>
      </c>
      <c r="Z22" s="32">
        <f>VLOOKUP(B22,拍照客户_业务级!$A$9:$KF$30,204,FALSE)</f>
        <v>99.5426518024224</v>
      </c>
      <c r="AA22" s="33">
        <f>VLOOKUP(B22,拍照客户_业务级!$A$9:$KF$30,206,FALSE)</f>
        <v>-0.0665417224002562</v>
      </c>
      <c r="AB22" s="33">
        <f>VLOOKUP(B22,拍照客户_业务级!$A$9:$KF$30,205,FALSE)</f>
        <v>-1.01694765034961</v>
      </c>
      <c r="AC22" s="33">
        <f>VLOOKUP(B22,拍照客户_业务级!$A$9:$KF$30,78,FALSE)</f>
        <v>95.3684820393974</v>
      </c>
      <c r="AD22" s="33">
        <f>VLOOKUP(B22,拍照客户_业务级!$A$9:$KF$30,80,FALSE)</f>
        <v>-0.184241019698728</v>
      </c>
      <c r="AE22" s="33">
        <f>VLOOKUP(B22,拍照客户_业务级!$A$9:$KF$30,79,FALSE)</f>
        <v>-0.200168652197186</v>
      </c>
      <c r="AF22" s="32">
        <f>VLOOKUP(B22,拍照客户_业务级!$A$9:$KF$30,213,FALSE)</f>
        <v>95.8754423268762</v>
      </c>
      <c r="AG22" s="33">
        <f>VLOOKUP(B22,拍照客户_业务级!$A$9:$KF$30,215,FALSE)</f>
        <v>-0.992286474560056</v>
      </c>
      <c r="AH22" s="33">
        <f>VLOOKUP(B22,拍照客户_业务级!$A$9:$KF$30,214,FALSE)</f>
        <v>-7.58337961150068</v>
      </c>
      <c r="AI22" s="33">
        <f>VLOOKUP(B22,拍照客户_业务级!$A$9:$KF$30,94,FALSE)</f>
        <v>82.5561385991375</v>
      </c>
      <c r="AJ22" s="33">
        <f>VLOOKUP(B22,拍照客户_业务级!$A$9:$KF$30,96,FALSE)</f>
        <v>-0.169956023878826</v>
      </c>
      <c r="AK22" s="33">
        <f>VLOOKUP(B22,拍照客户_业务级!$A$9:$KF$30,95,FALSE)</f>
        <v>-14.4884543254797</v>
      </c>
      <c r="AL22" s="32">
        <f>VLOOKUP(B22,拍照客户_业务级!$A$9:$KF$30,221,FALSE)</f>
        <v>107.558543772384</v>
      </c>
      <c r="AM22" s="33">
        <f>VLOOKUP(B22,拍照客户_业务级!$A$9:$KF$30,223,FALSE)</f>
        <v>-0.865894197425887</v>
      </c>
      <c r="AN22" s="33">
        <f>VLOOKUP(B22,拍照客户_业务级!$A$9:$KF$30,222,FALSE)</f>
        <v>-1.74423509706841</v>
      </c>
      <c r="AO22" s="33">
        <f>VLOOKUP(B22,拍照客户_业务级!$A$9:$KF$30,108,FALSE)</f>
        <v>90.8106942647693</v>
      </c>
      <c r="AP22" s="33">
        <f>VLOOKUP(B22,拍照客户_业务级!$A$9:$KF$30,110,FALSE)</f>
        <v>-2.10866752910738</v>
      </c>
      <c r="AQ22" s="33">
        <f>VLOOKUP(B22,拍照客户_业务级!$A$9:$KF$30,109,FALSE)</f>
        <v>-8.23464176012767</v>
      </c>
      <c r="AR22" s="32">
        <f>VLOOKUP(B22,拍照客户_业务级!$A$9:$KF$30,227,FALSE)</f>
        <v>91.8648717967951</v>
      </c>
      <c r="AS22" s="33">
        <f>VLOOKUP(B22,拍照客户_业务级!$A$9:$KF$30,229,FALSE)</f>
        <v>-1.7288746141943</v>
      </c>
      <c r="AT22" s="33">
        <f>VLOOKUP(B22,拍照客户_业务级!$A$9:$KF$30,228,FALSE)</f>
        <v>-1.99836762197801</v>
      </c>
      <c r="AU22" s="33">
        <f>VLOOKUP(B22,拍照客户_业务级!$A$9:$KF$30,118,FALSE)</f>
        <v>96.1010357553871</v>
      </c>
      <c r="AV22" s="33">
        <f>VLOOKUP(B22,拍照客户_业务级!$A$9:$KF$30,120,FALSE)</f>
        <v>-0.281757212587797</v>
      </c>
      <c r="AW22" s="33">
        <f>VLOOKUP(B22,拍照客户_业务级!$A$9:$KF$30,119,FALSE)</f>
        <v>-0.0391235336490436</v>
      </c>
      <c r="AX22" s="32">
        <f>VLOOKUP(B22,拍照客户_业务级!$A$9:$KF$30,254,FALSE)</f>
        <v>94.185821749014</v>
      </c>
      <c r="AY22" s="33">
        <f>VLOOKUP(B22,拍照客户_业务级!$A$9:$KF$30,256,FALSE)</f>
        <v>-0.876434250111256</v>
      </c>
      <c r="AZ22" s="33">
        <f>VLOOKUP(B22,拍照客户_业务级!$A$9:$KF$30,255,FALSE)</f>
        <v>-4.9546245924857</v>
      </c>
      <c r="BA22" s="32">
        <f>VLOOKUP(B22,拍照客户_业务级!$A$9:$KF$30,233,FALSE)</f>
        <v>103.397528724518</v>
      </c>
      <c r="BB22" s="33">
        <f>VLOOKUP(B22,拍照客户_业务级!$A$9:$KF$30,235,FALSE)</f>
        <v>-1.81048247912407</v>
      </c>
      <c r="BC22" s="33">
        <f>VLOOKUP(B22,拍照客户_业务级!$A$9:$KF$30,234,FALSE)</f>
        <v>2.04239753065589</v>
      </c>
      <c r="BD22" s="33">
        <f>VLOOKUP(B22,拍照客户_业务级!$A$9:$KF$30,123,FALSE)</f>
        <v>97.1119133574007</v>
      </c>
      <c r="BE22" s="33">
        <f>VLOOKUP(B22,拍照客户_业务级!$A$9:$KF$30,125,FALSE)</f>
        <v>-0.992779783393494</v>
      </c>
      <c r="BF22" s="33">
        <f>VLOOKUP(B22,拍照客户_业务级!$A$9:$KF$30,124,FALSE)</f>
        <v>-5.50613245840106</v>
      </c>
      <c r="BG22" s="32">
        <f>VLOOKUP(B22,拍照客户_业务级!$A$9:$KF$30,239,FALSE)</f>
        <v>91.2831856567685</v>
      </c>
      <c r="BH22" s="33">
        <f>VLOOKUP(B22,拍照客户_业务级!$A$9:$KF$30,241,FALSE)</f>
        <v>-0.582112892664643</v>
      </c>
      <c r="BI22" s="33">
        <f>VLOOKUP(B22,拍照客户_业务级!$A$9:$KF$30,240,FALSE)</f>
        <v>-7.11180541862365</v>
      </c>
      <c r="BJ22" s="33">
        <f>VLOOKUP(B22,拍照客户_业务级!$A$9:$KF$30,128,FALSE)</f>
        <v>96.5530068195908</v>
      </c>
      <c r="BK22" s="33">
        <f>VLOOKUP(B22,拍照客户_业务级!$A$9:$KF$30,130,FALSE)</f>
        <v>-0.351312254598057</v>
      </c>
      <c r="BL22" s="33">
        <f>VLOOKUP(B22,拍照客户_业务级!$A$9:$KF$30,129,FALSE)</f>
        <v>-20.0193994348648</v>
      </c>
      <c r="BM22" s="32">
        <f>VLOOKUP(B22,拍照客户_业务级!$A$9:$KF$30,245,FALSE)</f>
        <v>117.631140374368</v>
      </c>
      <c r="BN22" s="32">
        <f>VLOOKUP(B22,拍照客户_业务级!$A$9:$KF$30,247,FALSE)</f>
        <v>-0.108622802534342</v>
      </c>
      <c r="BO22" s="32">
        <f>VLOOKUP(B22,拍照客户_业务级!$A$9:$KF$30,246,FALSE)</f>
        <v>-27.3253571500234</v>
      </c>
    </row>
    <row r="23" ht="13.5" spans="1:67">
      <c r="A23" s="50"/>
      <c r="B23" s="29" t="s">
        <v>68</v>
      </c>
      <c r="C23" s="30">
        <f>ROUND(VLOOKUP(B23,拍照客户_客户级!$A$2:$BX$27,28,FALSE)/10000,3)</f>
        <v>716.199</v>
      </c>
      <c r="D23" s="31">
        <f>ROUND(VLOOKUP(B23,拍照客户_客户级!$A$2:$BX$27,29,FALSE)/10000,3)</f>
        <v>1685.071</v>
      </c>
      <c r="E23" s="31">
        <f>ROUND(VLOOKUP(B23,拍照客户_客户级!$A$2:$BX$27,30,FALSE)/10000,3)</f>
        <v>-922.698</v>
      </c>
      <c r="F23" s="31">
        <f>ROUND(VLOOKUP(B23,拍照客户_客户级!$A$2:$BX$27,33,FALSE)/10000,3)</f>
        <v>-74.684</v>
      </c>
      <c r="G23" s="31">
        <f>ROUND(VLOOKUP(B23,拍照客户_客户级!$A$2:$BX$27,31,FALSE)/10000,3)</f>
        <v>37.923</v>
      </c>
      <c r="H23" s="31">
        <f>ROUND(VLOOKUP(B23,拍照客户_客户级!$A$2:$BX$27,32,FALSE)/10000,3)</f>
        <v>-9.414</v>
      </c>
      <c r="I23" s="32">
        <f>VLOOKUP(B23,拍照客户_客户级!$A$2:$BX$27,13,FALSE)</f>
        <v>94.4884218188435</v>
      </c>
      <c r="J23" s="32">
        <f>VLOOKUP(B23,拍照客户_客户级!$A$2:$BX$27,15,FALSE)</f>
        <v>-0.541376643464808</v>
      </c>
      <c r="K23" s="32">
        <f>VLOOKUP(B23,拍照客户_客户级!$A$2:$BX$27,14,FALSE)</f>
        <v>1.9030826254384</v>
      </c>
      <c r="L23" s="32">
        <f>VLOOKUP(B23,拍照客户_客户级!$A$2:$BX$27,34,FALSE)</f>
        <v>107.575294416589</v>
      </c>
      <c r="M23" s="32">
        <f>VLOOKUP(B23,拍照客户_客户级!$A$2:$BX$27,36,FALSE)</f>
        <v>-1.0509554277801</v>
      </c>
      <c r="N23" s="32">
        <f>VLOOKUP(B23,拍照客户_客户级!$A$2:$BX$27,35,FALSE)</f>
        <v>9.10214519569845</v>
      </c>
      <c r="O23" s="33">
        <f>VLOOKUP(B23,拍照客户_客户级!$A$2:$BX$27,49,FALSE)</f>
        <v>6.71491177419887</v>
      </c>
      <c r="P23" s="33">
        <f>VLOOKUP(B23,拍照客户_客户级!$A$2:$BX$27,50,FALSE)</f>
        <v>7.57890926145151</v>
      </c>
      <c r="Q23" s="33">
        <f>VLOOKUP(B23,拍照客户_客户级!$A$2:$BX$27,51,FALSE)</f>
        <v>17.526963081424</v>
      </c>
      <c r="R23" s="33">
        <f>VLOOKUP(B23,拍照客户_客户级!$A$2:$BX$27,52,FALSE)</f>
        <v>-9.95802191306801</v>
      </c>
      <c r="S23" s="33">
        <f>VLOOKUP(B23,拍照客户_客户级!$A$2:$BX$27,55,FALSE)</f>
        <v>-0.863997487252659</v>
      </c>
      <c r="T23" s="32">
        <f>VLOOKUP(B23,拍照客户_业务级!$A$9:$KF$30,282,FALSE)</f>
        <v>-0.833985794529268</v>
      </c>
      <c r="U23" s="32">
        <f>VLOOKUP(B23,拍照客户_业务级!$A$9:$KF$30,284,FALSE)</f>
        <v>5.4702131491228</v>
      </c>
      <c r="V23" s="32">
        <f>VLOOKUP(B23,拍照客户_业务级!$A$9:$KF$30,285,FALSE)</f>
        <v>0.360598417755619</v>
      </c>
      <c r="W23" s="32">
        <f>VLOOKUP(B23,拍照客户_业务级!$A$9:$KF$30,251,FALSE)</f>
        <v>99.8451107100673</v>
      </c>
      <c r="X23" s="33">
        <f>VLOOKUP(B23,拍照客户_业务级!$A$9:$KF$30,253,FALSE)</f>
        <v>-0.318862881895032</v>
      </c>
      <c r="Y23" s="33">
        <f>VLOOKUP(B23,拍照客户_业务级!$A$9:$KF$30,252,FALSE)</f>
        <v>1.40873860409126</v>
      </c>
      <c r="Z23" s="32">
        <f>VLOOKUP(B23,拍照客户_业务级!$A$9:$KF$30,204,FALSE)</f>
        <v>99.9085063704623</v>
      </c>
      <c r="AA23" s="33">
        <f>VLOOKUP(B23,拍照客户_业务级!$A$9:$KF$30,206,FALSE)</f>
        <v>-0.163003107179297</v>
      </c>
      <c r="AB23" s="33">
        <f>VLOOKUP(B23,拍照客户_业务级!$A$9:$KF$30,205,FALSE)</f>
        <v>-0.00738002061331732</v>
      </c>
      <c r="AC23" s="33">
        <f>VLOOKUP(B23,拍照客户_业务级!$A$9:$KF$30,78,FALSE)</f>
        <v>97.7075935020778</v>
      </c>
      <c r="AD23" s="33">
        <f>VLOOKUP(B23,拍照客户_业务级!$A$9:$KF$30,80,FALSE)</f>
        <v>0.773706082357384</v>
      </c>
      <c r="AE23" s="33">
        <f>VLOOKUP(B23,拍照客户_业务级!$A$9:$KF$30,79,FALSE)</f>
        <v>2.96537655282347</v>
      </c>
      <c r="AF23" s="32">
        <f>VLOOKUP(B23,拍照客户_业务级!$A$9:$KF$30,213,FALSE)</f>
        <v>108.990019699828</v>
      </c>
      <c r="AG23" s="33">
        <f>VLOOKUP(B23,拍照客户_业务级!$A$9:$KF$30,215,FALSE)</f>
        <v>-0.630050087618228</v>
      </c>
      <c r="AH23" s="33">
        <f>VLOOKUP(B23,拍照客户_业务级!$A$9:$KF$30,214,FALSE)</f>
        <v>9.0822502185041</v>
      </c>
      <c r="AI23" s="33">
        <f>VLOOKUP(B23,拍照客户_业务级!$A$9:$KF$30,94,FALSE)</f>
        <v>100</v>
      </c>
      <c r="AJ23" s="33">
        <f>VLOOKUP(B23,拍照客户_业务级!$A$9:$KF$30,96,FALSE)</f>
        <v>-0.353498835060662</v>
      </c>
      <c r="AK23" s="33">
        <f>VLOOKUP(B23,拍照客户_业务级!$A$9:$KF$30,95,FALSE)</f>
        <v>1.08820313125116</v>
      </c>
      <c r="AL23" s="32">
        <f>VLOOKUP(B23,拍照客户_业务级!$A$9:$KF$30,221,FALSE)</f>
        <v>103.804882054102</v>
      </c>
      <c r="AM23" s="33">
        <f>VLOOKUP(B23,拍照客户_业务级!$A$9:$KF$30,223,FALSE)</f>
        <v>-0.434020197889216</v>
      </c>
      <c r="AN23" s="33">
        <f>VLOOKUP(B23,拍照客户_业务级!$A$9:$KF$30,222,FALSE)</f>
        <v>-4.8925257966937</v>
      </c>
      <c r="AO23" s="33">
        <f>VLOOKUP(B23,拍照客户_业务级!$A$9:$KF$30,108,FALSE)</f>
        <v>90.4615718000578</v>
      </c>
      <c r="AP23" s="33">
        <f>VLOOKUP(B23,拍照客户_业务级!$A$9:$KF$30,110,FALSE)</f>
        <v>-1.61802947125109</v>
      </c>
      <c r="AQ23" s="33">
        <f>VLOOKUP(B23,拍照客户_业务级!$A$9:$KF$30,109,FALSE)</f>
        <v>-7.58736302381904</v>
      </c>
      <c r="AR23" s="32">
        <f>VLOOKUP(B23,拍照客户_业务级!$A$9:$KF$30,227,FALSE)</f>
        <v>93.035332730645</v>
      </c>
      <c r="AS23" s="33">
        <f>VLOOKUP(B23,拍照客户_业务级!$A$9:$KF$30,229,FALSE)</f>
        <v>-0.361848886726847</v>
      </c>
      <c r="AT23" s="33">
        <f>VLOOKUP(B23,拍照客户_业务级!$A$9:$KF$30,228,FALSE)</f>
        <v>-1.03910074505939</v>
      </c>
      <c r="AU23" s="33">
        <f>VLOOKUP(B23,拍照客户_业务级!$A$9:$KF$30,118,FALSE)</f>
        <v>96.9494132391478</v>
      </c>
      <c r="AV23" s="33">
        <f>VLOOKUP(B23,拍照客户_业务级!$A$9:$KF$30,120,FALSE)</f>
        <v>-0.175173749572743</v>
      </c>
      <c r="AW23" s="33">
        <f>VLOOKUP(B23,拍照客户_业务级!$A$9:$KF$30,119,FALSE)</f>
        <v>0.489699492643292</v>
      </c>
      <c r="AX23" s="32">
        <f>VLOOKUP(B23,拍照客户_业务级!$A$9:$KF$30,254,FALSE)</f>
        <v>114.37800355789</v>
      </c>
      <c r="AY23" s="33">
        <f>VLOOKUP(B23,拍照客户_业务级!$A$9:$KF$30,256,FALSE)</f>
        <v>-1.65600897601839</v>
      </c>
      <c r="AZ23" s="33">
        <f>VLOOKUP(B23,拍照客户_业务级!$A$9:$KF$30,255,FALSE)</f>
        <v>17.3173469398356</v>
      </c>
      <c r="BA23" s="32">
        <f>VLOOKUP(B23,拍照客户_业务级!$A$9:$KF$30,233,FALSE)</f>
        <v>108.620667645539</v>
      </c>
      <c r="BB23" s="33">
        <f>VLOOKUP(B23,拍照客户_业务级!$A$9:$KF$30,235,FALSE)</f>
        <v>0.0195728776130055</v>
      </c>
      <c r="BC23" s="33">
        <f>VLOOKUP(B23,拍照客户_业务级!$A$9:$KF$30,234,FALSE)</f>
        <v>8.55007568094837</v>
      </c>
      <c r="BD23" s="33">
        <f>VLOOKUP(B23,拍照客户_业务级!$A$9:$KF$30,123,FALSE)</f>
        <v>106.652512384996</v>
      </c>
      <c r="BE23" s="33">
        <f>VLOOKUP(B23,拍照客户_业务级!$A$9:$KF$30,125,FALSE)</f>
        <v>1.8400566171267</v>
      </c>
      <c r="BF23" s="33">
        <f>VLOOKUP(B23,拍照客户_业务级!$A$9:$KF$30,124,FALSE)</f>
        <v>9.1596757087787</v>
      </c>
      <c r="BG23" s="32">
        <f>VLOOKUP(B23,拍照客户_业务级!$A$9:$KF$30,239,FALSE)</f>
        <v>117.848560834602</v>
      </c>
      <c r="BH23" s="33">
        <f>VLOOKUP(B23,拍照客户_业务级!$A$9:$KF$30,241,FALSE)</f>
        <v>-2.66605995851736</v>
      </c>
      <c r="BI23" s="33">
        <f>VLOOKUP(B23,拍照客户_业务级!$A$9:$KF$30,240,FALSE)</f>
        <v>22.5810238051137</v>
      </c>
      <c r="BJ23" s="33">
        <f>VLOOKUP(B23,拍照客户_业务级!$A$9:$KF$30,128,FALSE)</f>
        <v>74.1009345794393</v>
      </c>
      <c r="BK23" s="33">
        <f>VLOOKUP(B23,拍照客户_业务级!$A$9:$KF$30,130,FALSE)</f>
        <v>0.564485981308405</v>
      </c>
      <c r="BL23" s="33">
        <f>VLOOKUP(B23,拍照客户_业务级!$A$9:$KF$30,129,FALSE)</f>
        <v>-21.7485370410839</v>
      </c>
      <c r="BM23" s="32">
        <f>VLOOKUP(B23,拍照客户_业务级!$A$9:$KF$30,245,FALSE)</f>
        <v>121.547350507819</v>
      </c>
      <c r="BN23" s="32">
        <f>VLOOKUP(B23,拍照客户_业务级!$A$9:$KF$30,247,FALSE)</f>
        <v>-2.52876532974043</v>
      </c>
      <c r="BO23" s="32">
        <f>VLOOKUP(B23,拍照客户_业务级!$A$9:$KF$30,246,FALSE)</f>
        <v>17.3740726735339</v>
      </c>
    </row>
    <row r="24" ht="14.25" spans="1:67">
      <c r="A24" s="54"/>
      <c r="B24" s="55" t="s">
        <v>69</v>
      </c>
      <c r="C24" s="56">
        <f>ROUND(VLOOKUP(B24,拍照客户_客户级!$A$2:$BX$27,28,FALSE)/10000,3)</f>
        <v>332.807</v>
      </c>
      <c r="D24" s="57">
        <f>ROUND(VLOOKUP(B24,拍照客户_客户级!$A$2:$BX$27,29,FALSE)/10000,3)</f>
        <v>1221.589</v>
      </c>
      <c r="E24" s="57">
        <f>ROUND(VLOOKUP(B24,拍照客户_客户级!$A$2:$BX$27,30,FALSE)/10000,3)</f>
        <v>-925.522</v>
      </c>
      <c r="F24" s="57">
        <f>ROUND(VLOOKUP(B24,拍照客户_客户级!$A$2:$BX$27,33,FALSE)/10000,3)</f>
        <v>-80.187</v>
      </c>
      <c r="G24" s="57">
        <f>ROUND(VLOOKUP(B24,拍照客户_客户级!$A$2:$BX$27,31,FALSE)/10000,3)</f>
        <v>99.928</v>
      </c>
      <c r="H24" s="57">
        <f>ROUND(VLOOKUP(B24,拍照客户_客户级!$A$2:$BX$27,32,FALSE)/10000,3)</f>
        <v>16.999</v>
      </c>
      <c r="I24" s="58">
        <f>VLOOKUP(B24,拍照客户_客户级!$A$2:$BX$27,13,FALSE)</f>
        <v>92.0627267300363</v>
      </c>
      <c r="J24" s="58">
        <f>VLOOKUP(B24,拍照客户_客户级!$A$2:$BX$27,15,FALSE)</f>
        <v>-1.39252422280387</v>
      </c>
      <c r="K24" s="58">
        <f>VLOOKUP(B24,拍照客户_客户级!$A$2:$BX$27,14,FALSE)</f>
        <v>1.59524203993556</v>
      </c>
      <c r="L24" s="58">
        <f>VLOOKUP(B24,拍照客户_客户级!$A$2:$BX$27,34,FALSE)</f>
        <v>103.945433439902</v>
      </c>
      <c r="M24" s="58">
        <f>VLOOKUP(B24,拍照客户_客户级!$A$2:$BX$27,36,FALSE)</f>
        <v>-1.04385517955039</v>
      </c>
      <c r="N24" s="58">
        <f>VLOOKUP(B24,拍照客户_客户级!$A$2:$BX$27,35,FALSE)</f>
        <v>-7.21753590769194</v>
      </c>
      <c r="O24" s="59">
        <f>VLOOKUP(B24,拍照客户_客户级!$A$2:$BX$27,49,FALSE)</f>
        <v>1.6900979383327</v>
      </c>
      <c r="P24" s="59">
        <f>VLOOKUP(B24,拍照客户_客户级!$A$2:$BX$27,50,FALSE)</f>
        <v>3.02548282523936</v>
      </c>
      <c r="Q24" s="59">
        <f>VLOOKUP(B24,拍照客户_客户级!$A$2:$BX$27,51,FALSE)</f>
        <v>14.0230415803921</v>
      </c>
      <c r="R24" s="59">
        <f>VLOOKUP(B24,拍照客户_客户级!$A$2:$BX$27,52,FALSE)</f>
        <v>-11.1403156963241</v>
      </c>
      <c r="S24" s="59">
        <f>VLOOKUP(B24,拍照客户_客户级!$A$2:$BX$27,55,FALSE)</f>
        <v>-1.33538488690666</v>
      </c>
      <c r="T24" s="58">
        <f>VLOOKUP(B24,拍照客户_业务级!$A$9:$KF$30,282,FALSE)</f>
        <v>-2.67487697540677</v>
      </c>
      <c r="U24" s="58">
        <f>VLOOKUP(B24,拍照客户_业务级!$A$9:$KF$30,284,FALSE)</f>
        <v>2.71475155026668</v>
      </c>
      <c r="V24" s="58">
        <f>VLOOKUP(B24,拍照客户_业务级!$A$9:$KF$30,285,FALSE)</f>
        <v>4.53544457520956</v>
      </c>
      <c r="W24" s="58">
        <f>VLOOKUP(B24,拍照客户_业务级!$A$9:$KF$30,251,FALSE)</f>
        <v>99.0593516311483</v>
      </c>
      <c r="X24" s="59">
        <f>VLOOKUP(B24,拍照客户_业务级!$A$9:$KF$30,253,FALSE)</f>
        <v>-0.772642866869518</v>
      </c>
      <c r="Y24" s="59">
        <f>VLOOKUP(B24,拍照客户_业务级!$A$9:$KF$30,252,FALSE)</f>
        <v>-3.37495397353437</v>
      </c>
      <c r="Z24" s="58">
        <f>VLOOKUP(B24,拍照客户_业务级!$A$9:$KF$30,204,FALSE)</f>
        <v>102.059284448596</v>
      </c>
      <c r="AA24" s="59">
        <f>VLOOKUP(B24,拍照客户_业务级!$A$9:$KF$30,206,FALSE)</f>
        <v>-0.55112446731876</v>
      </c>
      <c r="AB24" s="59">
        <f>VLOOKUP(B24,拍照客户_业务级!$A$9:$KF$30,205,FALSE)</f>
        <v>-2.3198668671832</v>
      </c>
      <c r="AC24" s="59">
        <f>VLOOKUP(B24,拍照客户_业务级!$A$9:$KF$30,78,FALSE)</f>
        <v>93.9023379589131</v>
      </c>
      <c r="AD24" s="59">
        <f>VLOOKUP(B24,拍照客户_业务级!$A$9:$KF$30,80,FALSE)</f>
        <v>-1.15470676525566</v>
      </c>
      <c r="AE24" s="59">
        <f>VLOOKUP(B24,拍照客户_业务级!$A$9:$KF$30,79,FALSE)</f>
        <v>1.53208704421018</v>
      </c>
      <c r="AF24" s="58">
        <f>VLOOKUP(B24,拍照客户_业务级!$A$9:$KF$30,213,FALSE)</f>
        <v>109.644923088013</v>
      </c>
      <c r="AG24" s="59">
        <f>VLOOKUP(B24,拍照客户_业务级!$A$9:$KF$30,215,FALSE)</f>
        <v>1.04357625108318</v>
      </c>
      <c r="AH24" s="59">
        <f>VLOOKUP(B24,拍照客户_业务级!$A$9:$KF$30,214,FALSE)</f>
        <v>12.5634059120115</v>
      </c>
      <c r="AI24" s="59">
        <f>VLOOKUP(B24,拍照客户_业务级!$A$9:$KF$30,94,FALSE)</f>
        <v>93.2720368482121</v>
      </c>
      <c r="AJ24" s="59">
        <f>VLOOKUP(B24,拍照客户_业务级!$A$9:$KF$30,96,FALSE)</f>
        <v>-0.223269224007594</v>
      </c>
      <c r="AK24" s="59">
        <f>VLOOKUP(B24,拍照客户_业务级!$A$9:$KF$30,95,FALSE)</f>
        <v>-2.9571282033423</v>
      </c>
      <c r="AL24" s="58">
        <f>VLOOKUP(B24,拍照客户_业务级!$A$9:$KF$30,221,FALSE)</f>
        <v>105.309610665987</v>
      </c>
      <c r="AM24" s="59">
        <f>VLOOKUP(B24,拍照客户_业务级!$A$9:$KF$30,223,FALSE)</f>
        <v>0.862710322674243</v>
      </c>
      <c r="AN24" s="59">
        <f>VLOOKUP(B24,拍照客户_业务级!$A$9:$KF$30,222,FALSE)</f>
        <v>-5.53409574092125</v>
      </c>
      <c r="AO24" s="59">
        <f>VLOOKUP(B24,拍照客户_业务级!$A$9:$KF$30,108,FALSE)</f>
        <v>105.810326903084</v>
      </c>
      <c r="AP24" s="59">
        <f>VLOOKUP(B24,拍照客户_业务级!$A$9:$KF$30,110,FALSE)</f>
        <v>-0.716183435370232</v>
      </c>
      <c r="AQ24" s="59">
        <f>VLOOKUP(B24,拍照客户_业务级!$A$9:$KF$30,109,FALSE)</f>
        <v>6.17758196765001</v>
      </c>
      <c r="AR24" s="58">
        <f>VLOOKUP(B24,拍照客户_业务级!$A$9:$KF$30,227,FALSE)</f>
        <v>87.6059481191886</v>
      </c>
      <c r="AS24" s="59">
        <f>VLOOKUP(B24,拍照客户_业务级!$A$9:$KF$30,229,FALSE)</f>
        <v>-1.97002696192893</v>
      </c>
      <c r="AT24" s="59">
        <f>VLOOKUP(B24,拍照客户_业务级!$A$9:$KF$30,228,FALSE)</f>
        <v>-11.2274152117667</v>
      </c>
      <c r="AU24" s="59">
        <f>VLOOKUP(B24,拍照客户_业务级!$A$9:$KF$30,118,FALSE)</f>
        <v>96.4770533194713</v>
      </c>
      <c r="AV24" s="59">
        <f>VLOOKUP(B24,拍照客户_业务级!$A$9:$KF$30,120,FALSE)</f>
        <v>0.100995098767265</v>
      </c>
      <c r="AW24" s="59">
        <f>VLOOKUP(B24,拍照客户_业务级!$A$9:$KF$30,119,FALSE)</f>
        <v>-0.549271022420195</v>
      </c>
      <c r="AX24" s="58">
        <f>VLOOKUP(B24,拍照客户_业务级!$A$9:$KF$30,254,FALSE)</f>
        <v>108.826663830508</v>
      </c>
      <c r="AY24" s="59">
        <f>VLOOKUP(B24,拍照客户_业务级!$A$9:$KF$30,256,FALSE)</f>
        <v>-3.20238891206361</v>
      </c>
      <c r="AZ24" s="59">
        <f>VLOOKUP(B24,拍照客户_业务级!$A$9:$KF$30,255,FALSE)</f>
        <v>-16.1099027572595</v>
      </c>
      <c r="BA24" s="58">
        <f>VLOOKUP(B24,拍照客户_业务级!$A$9:$KF$30,233,FALSE)</f>
        <v>130.409395070061</v>
      </c>
      <c r="BB24" s="59">
        <f>VLOOKUP(B24,拍照客户_业务级!$A$9:$KF$30,235,FALSE)</f>
        <v>-4.37522244475881</v>
      </c>
      <c r="BC24" s="59">
        <f>VLOOKUP(B24,拍照客户_业务级!$A$9:$KF$30,234,FALSE)</f>
        <v>24.3002203992068</v>
      </c>
      <c r="BD24" s="59">
        <f>VLOOKUP(B24,拍照客户_业务级!$A$9:$KF$30,123,FALSE)</f>
        <v>119.769673704415</v>
      </c>
      <c r="BE24" s="59">
        <f>VLOOKUP(B24,拍照客户_业务级!$A$9:$KF$30,125,FALSE)</f>
        <v>-0.287907869481763</v>
      </c>
      <c r="BF24" s="59">
        <f>VLOOKUP(B24,拍照客户_业务级!$A$9:$KF$30,124,FALSE)</f>
        <v>-4.95939033499428</v>
      </c>
      <c r="BG24" s="58">
        <f>VLOOKUP(B24,拍照客户_业务级!$A$9:$KF$30,239,FALSE)</f>
        <v>103.715872421516</v>
      </c>
      <c r="BH24" s="59">
        <f>VLOOKUP(B24,拍照客户_业务级!$A$9:$KF$30,241,FALSE)</f>
        <v>-2.92466189611995</v>
      </c>
      <c r="BI24" s="59">
        <f>VLOOKUP(B24,拍照客户_业务级!$A$9:$KF$30,240,FALSE)</f>
        <v>-28.6070030237335</v>
      </c>
      <c r="BJ24" s="59">
        <f>VLOOKUP(B24,拍照客户_业务级!$A$9:$KF$30,128,FALSE)</f>
        <v>105.151554572655</v>
      </c>
      <c r="BK24" s="59">
        <f>VLOOKUP(B24,拍照客户_业务级!$A$9:$KF$30,130,FALSE)</f>
        <v>0.656953297775464</v>
      </c>
      <c r="BL24" s="59">
        <f>VLOOKUP(B24,拍照客户_业务级!$A$9:$KF$30,129,FALSE)</f>
        <v>4.1873306067022</v>
      </c>
      <c r="BM24" s="58">
        <f>VLOOKUP(B24,拍照客户_业务级!$A$9:$KF$30,245,FALSE)</f>
        <v>116.816984747842</v>
      </c>
      <c r="BN24" s="58">
        <f>VLOOKUP(B24,拍照客户_业务级!$A$9:$KF$30,247,FALSE)</f>
        <v>4.18141809427727</v>
      </c>
      <c r="BO24" s="58">
        <f>VLOOKUP(B24,拍照客户_业务级!$A$9:$KF$30,246,FALSE)</f>
        <v>-9.36800563071139</v>
      </c>
    </row>
  </sheetData>
  <mergeCells count="6">
    <mergeCell ref="A2:B2"/>
    <mergeCell ref="A4:A7"/>
    <mergeCell ref="A8:A11"/>
    <mergeCell ref="A12:A15"/>
    <mergeCell ref="A16:A19"/>
    <mergeCell ref="A20:A24"/>
  </mergeCells>
  <conditionalFormatting sqref="C4:C24">
    <cfRule type="top10" dxfId="0" priority="42" rank="5"/>
    <cfRule type="top10" dxfId="1" priority="41" bottom="1" rank="5"/>
  </conditionalFormatting>
  <conditionalFormatting sqref="I4:I24">
    <cfRule type="top10" dxfId="0" priority="40" rank="5"/>
    <cfRule type="top10" dxfId="1" priority="39" bottom="1" rank="5"/>
  </conditionalFormatting>
  <conditionalFormatting sqref="J4:J24">
    <cfRule type="top10" dxfId="0" priority="38" rank="5"/>
    <cfRule type="top10" dxfId="1" priority="37" bottom="1" rank="5"/>
  </conditionalFormatting>
  <conditionalFormatting sqref="K4:K24">
    <cfRule type="top10" dxfId="0" priority="36" rank="5"/>
    <cfRule type="top10" dxfId="1" priority="35" bottom="1" rank="5"/>
  </conditionalFormatting>
  <conditionalFormatting sqref="L4:L24">
    <cfRule type="top10" dxfId="0" priority="34" rank="5"/>
    <cfRule type="top10" dxfId="1" priority="33" bottom="1" rank="5"/>
  </conditionalFormatting>
  <conditionalFormatting sqref="M4:M24">
    <cfRule type="top10" dxfId="0" priority="32" rank="5"/>
    <cfRule type="top10" dxfId="1" priority="31" bottom="1" rank="5"/>
  </conditionalFormatting>
  <conditionalFormatting sqref="N4:N24">
    <cfRule type="top10" dxfId="0" priority="30" rank="5"/>
    <cfRule type="top10" dxfId="1" priority="29" bottom="1" rank="5"/>
  </conditionalFormatting>
  <conditionalFormatting sqref="T4:T24">
    <cfRule type="top10" dxfId="0" priority="28" rank="5"/>
    <cfRule type="top10" dxfId="1" priority="27" bottom="1" rank="5"/>
  </conditionalFormatting>
  <conditionalFormatting sqref="U4:U24">
    <cfRule type="top10" dxfId="0" priority="26" rank="5"/>
    <cfRule type="top10" dxfId="1" priority="25" bottom="1" rank="5"/>
  </conditionalFormatting>
  <conditionalFormatting sqref="V4:V24">
    <cfRule type="top10" dxfId="0" priority="24" rank="5"/>
    <cfRule type="top10" dxfId="1" priority="23" bottom="1" rank="5"/>
  </conditionalFormatting>
  <conditionalFormatting sqref="W4:W24">
    <cfRule type="top10" dxfId="0" priority="22" rank="5"/>
    <cfRule type="top10" dxfId="1" priority="21" bottom="1" rank="5"/>
  </conditionalFormatting>
  <conditionalFormatting sqref="Z4:Z24">
    <cfRule type="top10" dxfId="0" priority="20" rank="5"/>
    <cfRule type="top10" dxfId="1" priority="19" bottom="1" rank="5"/>
  </conditionalFormatting>
  <conditionalFormatting sqref="AF4:AF24">
    <cfRule type="top10" dxfId="0" priority="18" rank="5"/>
    <cfRule type="top10" dxfId="1" priority="17" bottom="1" rank="5"/>
  </conditionalFormatting>
  <conditionalFormatting sqref="AL4:AL24">
    <cfRule type="top10" dxfId="0" priority="16" rank="5"/>
    <cfRule type="top10" dxfId="1" priority="15" bottom="1" rank="5"/>
  </conditionalFormatting>
  <conditionalFormatting sqref="AR4:AR24">
    <cfRule type="top10" dxfId="0" priority="14" rank="5"/>
    <cfRule type="top10" dxfId="1" priority="13" bottom="1" rank="5"/>
  </conditionalFormatting>
  <conditionalFormatting sqref="AX4:AX24">
    <cfRule type="top10" dxfId="0" priority="12" rank="5"/>
    <cfRule type="top10" dxfId="1" priority="11" bottom="1" rank="5"/>
  </conditionalFormatting>
  <conditionalFormatting sqref="BA4:BA24">
    <cfRule type="top10" dxfId="0" priority="8" rank="5"/>
    <cfRule type="top10" dxfId="1" priority="7" bottom="1" rank="5"/>
  </conditionalFormatting>
  <conditionalFormatting sqref="BG4:BG24">
    <cfRule type="top10" dxfId="0" priority="10" rank="5"/>
    <cfRule type="top10" dxfId="1" priority="9" bottom="1" rank="5"/>
  </conditionalFormatting>
  <conditionalFormatting sqref="BM4:BM24">
    <cfRule type="top10" dxfId="0" priority="6" rank="5"/>
    <cfRule type="top10" dxfId="1" priority="5" bottom="1" rank="5"/>
  </conditionalFormatting>
  <conditionalFormatting sqref="BN4:BN24">
    <cfRule type="top10" dxfId="0" priority="4" rank="5"/>
    <cfRule type="top10" dxfId="1" priority="3" bottom="1" rank="5"/>
  </conditionalFormatting>
  <conditionalFormatting sqref="BO4:BO24">
    <cfRule type="top10" dxfId="0" priority="2" rank="5"/>
    <cfRule type="top10" dxfId="1" priority="1" bottom="1" rank="5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32"/>
  <sheetViews>
    <sheetView zoomScale="83" zoomScaleNormal="83" workbookViewId="0">
      <selection activeCell="A6" sqref="$A6:$XFD27"/>
    </sheetView>
  </sheetViews>
  <sheetFormatPr defaultColWidth="11.5333333333333" defaultRowHeight="14"/>
  <cols>
    <col min="1" max="1" width="19.0888888888889" style="2" customWidth="1"/>
    <col min="2" max="5" width="11.2666666666667" style="2" customWidth="1"/>
    <col min="6" max="6" width="13.5111111111111" style="2" customWidth="1"/>
    <col min="7" max="7" width="11.2666666666667" style="2" customWidth="1"/>
    <col min="8" max="9" width="14.3" style="2" customWidth="1"/>
    <col min="10" max="11" width="16.3222222222222" style="2" customWidth="1"/>
    <col min="12" max="12" width="15.6888888888889" style="2" customWidth="1"/>
    <col min="13" max="13" width="11.2666666666667" style="2" customWidth="1"/>
    <col min="14" max="15" width="14.1333333333333" style="2" customWidth="1"/>
    <col min="16" max="17" width="18.5222222222222" style="2" customWidth="1"/>
    <col min="18" max="19" width="20.7" style="2" customWidth="1"/>
    <col min="20" max="20" width="14.3" style="2" customWidth="1"/>
    <col min="21" max="21" width="23.9888888888889" style="2" customWidth="1"/>
    <col min="22" max="22" width="20.3444444444444" style="2" customWidth="1"/>
    <col min="23" max="23" width="17.1" style="2" customWidth="1"/>
    <col min="24" max="24" width="19.8111111111111" style="2" customWidth="1"/>
    <col min="25" max="25" width="16.3222222222222" style="2" customWidth="1"/>
    <col min="26" max="26" width="14.9222222222222" style="2" customWidth="1"/>
    <col min="27" max="27" width="16.0111111111111" style="2" customWidth="1"/>
    <col min="28" max="28" width="14.7555555555556" style="2" customWidth="1"/>
    <col min="29" max="30" width="18.5222222222222" style="2" customWidth="1"/>
    <col min="31" max="32" width="20.7" style="2" customWidth="1"/>
    <col min="33" max="33" width="18.5222222222222" style="2" customWidth="1"/>
    <col min="34" max="34" width="11.2666666666667" style="2" customWidth="1"/>
    <col min="35" max="36" width="14.1333333333333" style="2" customWidth="1"/>
    <col min="37" max="37" width="13.4777777777778" style="2" customWidth="1"/>
    <col min="38" max="38" width="16.3222222222222" style="2" customWidth="1"/>
    <col min="39" max="39" width="18.3555555555556" style="2" customWidth="1"/>
    <col min="40" max="40" width="11.2666666666667" style="2" customWidth="1"/>
    <col min="41" max="42" width="14.3" style="2" customWidth="1"/>
    <col min="43" max="44" width="16.3222222222222" style="2" customWidth="1"/>
    <col min="45" max="45" width="14.3" style="2" customWidth="1"/>
    <col min="46" max="46" width="17.8888888888889" style="2" customWidth="1"/>
    <col min="47" max="47" width="24.7555555555556" style="2" customWidth="1"/>
    <col min="48" max="52" width="11.2666666666667" style="2" customWidth="1"/>
    <col min="53" max="54" width="12.1" style="2" customWidth="1"/>
    <col min="55" max="59" width="11.2666666666667" style="2" customWidth="1"/>
    <col min="60" max="61" width="12.1" style="2" customWidth="1"/>
    <col min="62" max="66" width="11.2666666666667" style="2" customWidth="1"/>
    <col min="67" max="68" width="12.1" style="2" customWidth="1"/>
    <col min="69" max="73" width="11.2666666666667" style="2" customWidth="1"/>
    <col min="74" max="75" width="12.1" style="2" customWidth="1"/>
    <col min="76" max="103" width="11.2666666666667" style="2" customWidth="1"/>
    <col min="104" max="16384" width="11.5333333333333" style="2"/>
  </cols>
  <sheetData>
    <row r="1" ht="36.15" customHeight="1" spans="1:76">
      <c r="A1" s="3" t="s">
        <v>70</v>
      </c>
      <c r="B1" s="3"/>
      <c r="C1" s="3"/>
      <c r="D1" s="3"/>
      <c r="E1" s="3"/>
      <c r="F1" s="3"/>
    </row>
    <row r="2" ht="14.3" customHeight="1" spans="1:76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 t="s">
        <v>77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 t="s">
        <v>78</v>
      </c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</row>
    <row r="3" ht="14.3" customHeight="1" spans="1:76">
      <c r="A3" s="4"/>
      <c r="B3" s="4"/>
      <c r="C3" s="4"/>
      <c r="D3" s="4"/>
      <c r="E3" s="4"/>
      <c r="F3" s="4" t="s">
        <v>79</v>
      </c>
      <c r="G3" s="4" t="s">
        <v>80</v>
      </c>
      <c r="H3" s="4"/>
      <c r="I3" s="4"/>
      <c r="J3" s="4"/>
      <c r="K3" s="4"/>
      <c r="L3" s="4" t="s">
        <v>81</v>
      </c>
      <c r="M3" s="4" t="s">
        <v>82</v>
      </c>
      <c r="N3" s="4"/>
      <c r="O3" s="4"/>
      <c r="P3" s="4" t="s">
        <v>83</v>
      </c>
      <c r="Q3" s="4"/>
      <c r="R3" s="4"/>
      <c r="S3" s="4"/>
      <c r="T3" s="4"/>
      <c r="U3" s="4" t="s">
        <v>84</v>
      </c>
      <c r="V3" s="4" t="s">
        <v>85</v>
      </c>
      <c r="W3" s="4" t="s">
        <v>86</v>
      </c>
      <c r="X3" s="4"/>
      <c r="Y3" s="4"/>
      <c r="Z3" s="4"/>
      <c r="AA3" s="4"/>
      <c r="AB3" s="4" t="s">
        <v>87</v>
      </c>
      <c r="AC3" s="4"/>
      <c r="AD3" s="4"/>
      <c r="AE3" s="4"/>
      <c r="AF3" s="4"/>
      <c r="AG3" s="4"/>
      <c r="AH3" s="4" t="s">
        <v>88</v>
      </c>
      <c r="AI3" s="4"/>
      <c r="AJ3" s="4"/>
      <c r="AK3" s="4"/>
      <c r="AL3" s="4"/>
      <c r="AM3" s="4"/>
      <c r="AN3" s="4" t="s">
        <v>89</v>
      </c>
      <c r="AO3" s="4"/>
      <c r="AP3" s="4"/>
      <c r="AQ3" s="4"/>
      <c r="AR3" s="4"/>
      <c r="AS3" s="4"/>
      <c r="AT3" s="4" t="s">
        <v>90</v>
      </c>
      <c r="AU3" s="4" t="s">
        <v>91</v>
      </c>
      <c r="AV3" s="4" t="s">
        <v>92</v>
      </c>
      <c r="AW3" s="4"/>
      <c r="AX3" s="4" t="s">
        <v>93</v>
      </c>
      <c r="AY3" s="4"/>
      <c r="AZ3" s="4"/>
      <c r="BA3" s="4"/>
      <c r="BB3" s="4"/>
      <c r="BC3" s="4"/>
      <c r="BD3" s="4" t="s">
        <v>94</v>
      </c>
      <c r="BE3" s="4"/>
      <c r="BF3" s="4"/>
      <c r="BG3" s="4"/>
      <c r="BH3" s="4"/>
      <c r="BI3" s="4"/>
      <c r="BJ3" s="4"/>
      <c r="BK3" s="4" t="s">
        <v>95</v>
      </c>
      <c r="BL3" s="4"/>
      <c r="BM3" s="4"/>
      <c r="BN3" s="4"/>
      <c r="BO3" s="4"/>
      <c r="BP3" s="4"/>
      <c r="BQ3" s="4"/>
      <c r="BR3" s="4" t="s">
        <v>96</v>
      </c>
      <c r="BS3" s="4"/>
      <c r="BT3" s="4"/>
      <c r="BU3" s="4"/>
      <c r="BV3" s="4"/>
      <c r="BW3" s="4"/>
      <c r="BX3" s="4"/>
    </row>
    <row r="4" ht="27.1" customHeight="1" spans="1:76">
      <c r="A4" s="4"/>
      <c r="B4" s="4"/>
      <c r="C4" s="4"/>
      <c r="D4" s="4"/>
      <c r="E4" s="4"/>
      <c r="F4" s="4"/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/>
      <c r="M4" s="4" t="s">
        <v>102</v>
      </c>
      <c r="N4" s="4" t="s">
        <v>103</v>
      </c>
      <c r="O4" s="4" t="s">
        <v>104</v>
      </c>
      <c r="P4" s="4" t="s">
        <v>105</v>
      </c>
      <c r="Q4" s="4" t="s">
        <v>106</v>
      </c>
      <c r="R4" s="4" t="s">
        <v>107</v>
      </c>
      <c r="S4" s="4" t="s">
        <v>108</v>
      </c>
      <c r="T4" s="4" t="s">
        <v>109</v>
      </c>
      <c r="U4" s="4"/>
      <c r="V4" s="4"/>
      <c r="W4" s="4" t="s">
        <v>97</v>
      </c>
      <c r="X4" s="4" t="s">
        <v>110</v>
      </c>
      <c r="Y4" s="4"/>
      <c r="Z4" s="4"/>
      <c r="AA4" s="4" t="s">
        <v>111</v>
      </c>
      <c r="AB4" s="4" t="s">
        <v>97</v>
      </c>
      <c r="AC4" s="4" t="s">
        <v>112</v>
      </c>
      <c r="AD4" s="4" t="s">
        <v>113</v>
      </c>
      <c r="AE4" s="4" t="s">
        <v>114</v>
      </c>
      <c r="AF4" s="4" t="s">
        <v>115</v>
      </c>
      <c r="AG4" s="4" t="s">
        <v>116</v>
      </c>
      <c r="AH4" s="4" t="s">
        <v>102</v>
      </c>
      <c r="AI4" s="4" t="s">
        <v>103</v>
      </c>
      <c r="AJ4" s="4" t="s">
        <v>104</v>
      </c>
      <c r="AK4" s="4" t="s">
        <v>117</v>
      </c>
      <c r="AL4" s="4"/>
      <c r="AM4" s="4" t="s">
        <v>118</v>
      </c>
      <c r="AN4" s="4" t="s">
        <v>97</v>
      </c>
      <c r="AO4" s="4" t="s">
        <v>119</v>
      </c>
      <c r="AP4" s="4" t="s">
        <v>120</v>
      </c>
      <c r="AQ4" s="4" t="s">
        <v>121</v>
      </c>
      <c r="AR4" s="4" t="s">
        <v>122</v>
      </c>
      <c r="AS4" s="4" t="s">
        <v>123</v>
      </c>
      <c r="AT4" s="4"/>
      <c r="AU4" s="4"/>
      <c r="AV4" s="4" t="s">
        <v>124</v>
      </c>
      <c r="AW4" s="4" t="s">
        <v>125</v>
      </c>
      <c r="AX4" s="4" t="s">
        <v>126</v>
      </c>
      <c r="AY4" s="4"/>
      <c r="AZ4" s="4"/>
      <c r="BA4" s="4"/>
      <c r="BB4" s="4"/>
      <c r="BC4" s="4" t="s">
        <v>127</v>
      </c>
      <c r="BD4" s="4" t="s">
        <v>128</v>
      </c>
      <c r="BE4" s="4" t="s">
        <v>126</v>
      </c>
      <c r="BF4" s="4"/>
      <c r="BG4" s="4"/>
      <c r="BH4" s="4"/>
      <c r="BI4" s="4"/>
      <c r="BJ4" s="4" t="s">
        <v>127</v>
      </c>
      <c r="BK4" s="4" t="s">
        <v>128</v>
      </c>
      <c r="BL4" s="4" t="s">
        <v>126</v>
      </c>
      <c r="BM4" s="4"/>
      <c r="BN4" s="4"/>
      <c r="BO4" s="4"/>
      <c r="BP4" s="4"/>
      <c r="BQ4" s="4" t="s">
        <v>127</v>
      </c>
      <c r="BR4" s="4" t="s">
        <v>128</v>
      </c>
      <c r="BS4" s="4" t="s">
        <v>126</v>
      </c>
      <c r="BT4" s="4"/>
      <c r="BU4" s="4"/>
      <c r="BV4" s="4"/>
      <c r="BW4" s="4"/>
      <c r="BX4" s="4" t="s">
        <v>127</v>
      </c>
    </row>
    <row r="5" ht="18.55" customHeight="1" spans="1:7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 t="s">
        <v>129</v>
      </c>
      <c r="Y5" s="4" t="s">
        <v>130</v>
      </c>
      <c r="Z5" s="4" t="s">
        <v>131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 t="s">
        <v>132</v>
      </c>
      <c r="AL5" s="4" t="s">
        <v>133</v>
      </c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 t="s">
        <v>128</v>
      </c>
      <c r="AY5" s="4" t="s">
        <v>134</v>
      </c>
      <c r="AZ5" s="4" t="s">
        <v>135</v>
      </c>
      <c r="BA5" s="4" t="s">
        <v>136</v>
      </c>
      <c r="BB5" s="4" t="s">
        <v>137</v>
      </c>
      <c r="BC5" s="4"/>
      <c r="BD5" s="4"/>
      <c r="BE5" s="4" t="s">
        <v>128</v>
      </c>
      <c r="BF5" s="4" t="s">
        <v>134</v>
      </c>
      <c r="BG5" s="4" t="s">
        <v>135</v>
      </c>
      <c r="BH5" s="4" t="s">
        <v>136</v>
      </c>
      <c r="BI5" s="4" t="s">
        <v>137</v>
      </c>
      <c r="BJ5" s="4"/>
      <c r="BK5" s="4"/>
      <c r="BL5" s="4" t="s">
        <v>128</v>
      </c>
      <c r="BM5" s="4" t="s">
        <v>134</v>
      </c>
      <c r="BN5" s="4" t="s">
        <v>135</v>
      </c>
      <c r="BO5" s="4" t="s">
        <v>136</v>
      </c>
      <c r="BP5" s="4" t="s">
        <v>137</v>
      </c>
      <c r="BQ5" s="4"/>
      <c r="BR5" s="4"/>
      <c r="BS5" s="4" t="s">
        <v>128</v>
      </c>
      <c r="BT5" s="4" t="s">
        <v>134</v>
      </c>
      <c r="BU5" s="4" t="s">
        <v>135</v>
      </c>
      <c r="BV5" s="4" t="s">
        <v>136</v>
      </c>
      <c r="BW5" s="4" t="s">
        <v>137</v>
      </c>
      <c r="BX5" s="4"/>
    </row>
    <row r="6" s="1" customFormat="1" ht="25.6" customHeight="1" spans="1:76">
      <c r="A6" s="5" t="s">
        <v>43</v>
      </c>
      <c r="B6" s="5" t="s">
        <v>43</v>
      </c>
      <c r="C6" s="5" t="s">
        <v>43</v>
      </c>
      <c r="D6" s="5" t="s">
        <v>43</v>
      </c>
      <c r="E6" s="5" t="s">
        <v>43</v>
      </c>
      <c r="F6" s="5">
        <v>3146356</v>
      </c>
      <c r="G6" s="5">
        <v>2921762</v>
      </c>
      <c r="H6" s="5">
        <v>441587</v>
      </c>
      <c r="I6" s="5">
        <v>357300</v>
      </c>
      <c r="J6" s="5">
        <v>1257086</v>
      </c>
      <c r="K6" s="5">
        <v>865789</v>
      </c>
      <c r="L6" s="5">
        <v>224594</v>
      </c>
      <c r="M6" s="6">
        <v>92.8617740649818</v>
      </c>
      <c r="N6" s="6">
        <v>0.632967972604659</v>
      </c>
      <c r="O6" s="6">
        <v>-1.05607884168225</v>
      </c>
      <c r="P6" s="6">
        <v>14.0348708156356</v>
      </c>
      <c r="Q6" s="6">
        <v>11.3559940451748</v>
      </c>
      <c r="R6" s="6">
        <v>39.9537115316894</v>
      </c>
      <c r="S6" s="6">
        <v>27.5171976724821</v>
      </c>
      <c r="T6" s="6">
        <v>7.13822593501816</v>
      </c>
      <c r="U6" s="6">
        <v>15.4500952848311</v>
      </c>
      <c r="V6" s="6">
        <v>12825537514.791</v>
      </c>
      <c r="W6" s="6">
        <v>8563322702.24</v>
      </c>
      <c r="X6" s="6">
        <v>7100121650.01</v>
      </c>
      <c r="Y6" s="6">
        <v>1180075293.33</v>
      </c>
      <c r="Z6" s="6">
        <v>283125758.9</v>
      </c>
      <c r="AA6" s="6">
        <v>3186526883.08</v>
      </c>
      <c r="AB6" s="6">
        <v>12964359.045968</v>
      </c>
      <c r="AC6" s="6">
        <v>827844489.059514</v>
      </c>
      <c r="AD6" s="6">
        <v>-787692860.906585</v>
      </c>
      <c r="AE6" s="6">
        <v>46291643.877344</v>
      </c>
      <c r="AF6" s="6">
        <v>-1096968.63489533</v>
      </c>
      <c r="AG6" s="6">
        <v>-72381944.34941</v>
      </c>
      <c r="AH6" s="6">
        <v>100.151623575593</v>
      </c>
      <c r="AI6" s="6">
        <v>-0.559474529382054</v>
      </c>
      <c r="AJ6" s="6">
        <v>-0.67135428941214</v>
      </c>
      <c r="AK6" s="6">
        <v>13.8014717742131</v>
      </c>
      <c r="AL6" s="6">
        <v>3.31127360440237</v>
      </c>
      <c r="AM6" s="6">
        <v>37.2677583228594</v>
      </c>
      <c r="AN6" s="6">
        <v>0.151623575593033</v>
      </c>
      <c r="AO6" s="6">
        <v>9.68198589850292</v>
      </c>
      <c r="AP6" s="6">
        <v>-9.21239589371804</v>
      </c>
      <c r="AQ6" s="6">
        <v>0.541400044527859</v>
      </c>
      <c r="AR6" s="6">
        <v>-0.0128295048098014</v>
      </c>
      <c r="AS6" s="6">
        <v>-0.846536968909906</v>
      </c>
      <c r="AT6" s="6">
        <v>1084555385.41206</v>
      </c>
      <c r="AU6" s="6">
        <v>1020187539.97</v>
      </c>
      <c r="AV6" s="6">
        <v>-5.93495236000375</v>
      </c>
      <c r="AW6" s="6">
        <v>-1.3037644570534</v>
      </c>
      <c r="AX6" s="6">
        <v>-0.254896426111113</v>
      </c>
      <c r="AY6" s="6">
        <v>9.38393829113895</v>
      </c>
      <c r="AZ6" s="6">
        <v>-9.68609317295155</v>
      </c>
      <c r="BA6" s="6">
        <v>0.229617566973478</v>
      </c>
      <c r="BB6" s="6">
        <v>-0.182359111271996</v>
      </c>
      <c r="BC6" s="6">
        <v>-1.04886803094229</v>
      </c>
      <c r="BD6" s="6">
        <v>344.702057050143</v>
      </c>
      <c r="BE6" s="6">
        <v>364.181727686619</v>
      </c>
      <c r="BF6" s="6">
        <v>1013.64284203839</v>
      </c>
      <c r="BG6" s="6">
        <v>1325.03318532263</v>
      </c>
      <c r="BH6" s="6">
        <v>55.9326803150596</v>
      </c>
      <c r="BI6" s="6">
        <v>83.9630497495233</v>
      </c>
      <c r="BJ6" s="6">
        <v>91.2894038262376</v>
      </c>
      <c r="BK6" s="6">
        <v>340.207954147592</v>
      </c>
      <c r="BL6" s="6">
        <v>363.235554481337</v>
      </c>
      <c r="BM6" s="6">
        <v>1244.11613065489</v>
      </c>
      <c r="BN6" s="6">
        <v>1031.01962488805</v>
      </c>
      <c r="BO6" s="6">
        <v>57.9137139821778</v>
      </c>
      <c r="BP6" s="6">
        <v>81.6786761179687</v>
      </c>
      <c r="BQ6" s="6">
        <v>40.6399888131473</v>
      </c>
      <c r="BR6" s="6">
        <v>-4.49410290255173</v>
      </c>
      <c r="BS6" s="6">
        <v>-0.946173205281923</v>
      </c>
      <c r="BT6" s="6">
        <v>230.473288616495</v>
      </c>
      <c r="BU6" s="6">
        <v>-294.013560434582</v>
      </c>
      <c r="BV6" s="6">
        <v>1.98103366711825</v>
      </c>
      <c r="BW6" s="6">
        <v>-2.28437363155459</v>
      </c>
      <c r="BX6" s="6">
        <v>-50.6494150130903</v>
      </c>
    </row>
    <row r="7" s="1" customFormat="1" ht="14.3" customHeight="1" spans="1:76">
      <c r="A7" s="5" t="s">
        <v>45</v>
      </c>
      <c r="B7" s="5" t="s">
        <v>97</v>
      </c>
      <c r="C7" s="5" t="s">
        <v>97</v>
      </c>
      <c r="D7" s="5" t="s">
        <v>97</v>
      </c>
      <c r="E7" s="5" t="s">
        <v>138</v>
      </c>
      <c r="F7" s="5">
        <v>338039</v>
      </c>
      <c r="G7" s="5">
        <v>319469</v>
      </c>
      <c r="H7" s="5">
        <v>62061</v>
      </c>
      <c r="I7" s="5">
        <v>50349</v>
      </c>
      <c r="J7" s="5">
        <v>119967</v>
      </c>
      <c r="K7" s="5">
        <v>87092</v>
      </c>
      <c r="L7" s="5">
        <v>18570</v>
      </c>
      <c r="M7" s="6">
        <v>94.5065510192611</v>
      </c>
      <c r="N7" s="6">
        <v>-0.0430893712230929</v>
      </c>
      <c r="O7" s="6">
        <v>-0.697848473105178</v>
      </c>
      <c r="P7" s="6">
        <v>18.3591242430607</v>
      </c>
      <c r="Q7" s="6">
        <v>14.8944352574703</v>
      </c>
      <c r="R7" s="6">
        <v>35.4891003700756</v>
      </c>
      <c r="S7" s="6">
        <v>25.7638911486544</v>
      </c>
      <c r="T7" s="6">
        <v>5.49344898073891</v>
      </c>
      <c r="U7" s="6">
        <v>21.0762663479658</v>
      </c>
      <c r="V7" s="6">
        <v>3754734348.86364</v>
      </c>
      <c r="W7" s="6">
        <v>2512466316.34</v>
      </c>
      <c r="X7" s="6">
        <v>2109515255.85</v>
      </c>
      <c r="Y7" s="6">
        <v>328864064.95</v>
      </c>
      <c r="Z7" s="6">
        <v>74086995.54</v>
      </c>
      <c r="AA7" s="6">
        <v>1320266972.78</v>
      </c>
      <c r="AB7" s="6">
        <v>9310083.76423734</v>
      </c>
      <c r="AC7" s="6">
        <v>184343932.540051</v>
      </c>
      <c r="AD7" s="6">
        <v>-165633353.421389</v>
      </c>
      <c r="AE7" s="6">
        <v>4038024.02937867</v>
      </c>
      <c r="AF7" s="6">
        <v>-1022654.86166667</v>
      </c>
      <c r="AG7" s="6">
        <v>-12415864.5221373</v>
      </c>
      <c r="AH7" s="6">
        <v>100.371933786756</v>
      </c>
      <c r="AI7" s="6">
        <v>0.0821309946785753</v>
      </c>
      <c r="AJ7" s="6">
        <v>-0.316040725700795</v>
      </c>
      <c r="AK7" s="6">
        <v>13.1379759948742</v>
      </c>
      <c r="AL7" s="6">
        <v>2.95974316648082</v>
      </c>
      <c r="AM7" s="6">
        <v>52.7440898653552</v>
      </c>
      <c r="AN7" s="6">
        <v>0.371933786755979</v>
      </c>
      <c r="AO7" s="6">
        <v>7.3644597225304</v>
      </c>
      <c r="AP7" s="6">
        <v>-6.61698024541404</v>
      </c>
      <c r="AQ7" s="6">
        <v>0.161317299209227</v>
      </c>
      <c r="AR7" s="6">
        <v>-0.0408546157989647</v>
      </c>
      <c r="AS7" s="6">
        <v>-0.496008373770635</v>
      </c>
      <c r="AT7" s="6">
        <v>316094231.591852</v>
      </c>
      <c r="AU7" s="6">
        <v>307136170.56</v>
      </c>
      <c r="AV7" s="6">
        <v>-2.83398434281422</v>
      </c>
      <c r="AW7" s="6">
        <v>-0.644093389208333</v>
      </c>
      <c r="AX7" s="6">
        <v>0.0137475053648091</v>
      </c>
      <c r="AY7" s="6">
        <v>7.17668164239311</v>
      </c>
      <c r="AZ7" s="6">
        <v>-7.1801231428467</v>
      </c>
      <c r="BA7" s="6">
        <v>0.0803068147756571</v>
      </c>
      <c r="BB7" s="6">
        <v>-0.0631178089572402</v>
      </c>
      <c r="BC7" s="6">
        <v>-0.657840894573161</v>
      </c>
      <c r="BD7" s="6">
        <v>935.08214020232</v>
      </c>
      <c r="BE7" s="6">
        <v>978.737545324598</v>
      </c>
      <c r="BF7" s="6">
        <v>2368.59110616867</v>
      </c>
      <c r="BG7" s="6">
        <v>2842.82567674095</v>
      </c>
      <c r="BH7" s="6">
        <v>94.357930813632</v>
      </c>
      <c r="BI7" s="6">
        <v>128.897078299052</v>
      </c>
      <c r="BJ7" s="6">
        <v>184.056366426925</v>
      </c>
      <c r="BK7" s="6">
        <v>929.059337953609</v>
      </c>
      <c r="BL7" s="6">
        <v>978.873568135719</v>
      </c>
      <c r="BM7" s="6">
        <v>2734.11980682313</v>
      </c>
      <c r="BN7" s="6">
        <v>2392.05296872828</v>
      </c>
      <c r="BO7" s="6">
        <v>96.4738894445973</v>
      </c>
      <c r="BP7" s="6">
        <v>126.606262228448</v>
      </c>
      <c r="BQ7" s="6">
        <v>72.0802156031233</v>
      </c>
      <c r="BR7" s="6">
        <v>-6.02280224871095</v>
      </c>
      <c r="BS7" s="6">
        <v>0.136022811120824</v>
      </c>
      <c r="BT7" s="6">
        <v>365.528700654453</v>
      </c>
      <c r="BU7" s="6">
        <v>-450.772708012672</v>
      </c>
      <c r="BV7" s="6">
        <v>2.11595863096524</v>
      </c>
      <c r="BW7" s="6">
        <v>-2.29081607060353</v>
      </c>
      <c r="BX7" s="6">
        <v>-111.976150823802</v>
      </c>
    </row>
    <row r="8" s="1" customFormat="1" ht="14.3" customHeight="1" spans="1:76">
      <c r="A8" s="5" t="s">
        <v>46</v>
      </c>
      <c r="B8" s="5" t="s">
        <v>97</v>
      </c>
      <c r="C8" s="5" t="s">
        <v>97</v>
      </c>
      <c r="D8" s="5" t="s">
        <v>97</v>
      </c>
      <c r="E8" s="5" t="s">
        <v>138</v>
      </c>
      <c r="F8" s="5">
        <v>897458</v>
      </c>
      <c r="G8" s="5">
        <v>828582</v>
      </c>
      <c r="H8" s="5">
        <v>108889</v>
      </c>
      <c r="I8" s="5">
        <v>88721</v>
      </c>
      <c r="J8" s="5">
        <v>392080</v>
      </c>
      <c r="K8" s="5">
        <v>238892</v>
      </c>
      <c r="L8" s="5">
        <v>68876</v>
      </c>
      <c r="M8" s="6">
        <v>92.3254347278647</v>
      </c>
      <c r="N8" s="6">
        <v>1.48408194446673</v>
      </c>
      <c r="O8" s="6">
        <v>-1.40251688658412</v>
      </c>
      <c r="P8" s="6">
        <v>12.1330468946736</v>
      </c>
      <c r="Q8" s="6">
        <v>9.88581081231657</v>
      </c>
      <c r="R8" s="6">
        <v>43.6878383166677</v>
      </c>
      <c r="S8" s="6">
        <v>26.6187387042068</v>
      </c>
      <c r="T8" s="6">
        <v>7.6745652721353</v>
      </c>
      <c r="U8" s="6">
        <v>15.0204243541202</v>
      </c>
      <c r="V8" s="6">
        <v>3136267013.48222</v>
      </c>
      <c r="W8" s="6">
        <v>2103822126.45</v>
      </c>
      <c r="X8" s="6">
        <v>1651272652.09</v>
      </c>
      <c r="Y8" s="6">
        <v>380640553.65</v>
      </c>
      <c r="Z8" s="6">
        <v>71908920.71</v>
      </c>
      <c r="AA8" s="6">
        <v>799012916.12</v>
      </c>
      <c r="AB8" s="6">
        <v>12977450.795184</v>
      </c>
      <c r="AC8" s="6">
        <v>243445617.401981</v>
      </c>
      <c r="AD8" s="6">
        <v>-230163584.283829</v>
      </c>
      <c r="AE8" s="6">
        <v>17980669.1128027</v>
      </c>
      <c r="AF8" s="6">
        <v>2706891.67873533</v>
      </c>
      <c r="AG8" s="6">
        <v>-20992143.1145067</v>
      </c>
      <c r="AH8" s="6">
        <v>100.620679811671</v>
      </c>
      <c r="AI8" s="6">
        <v>-1.35830693451349</v>
      </c>
      <c r="AJ8" s="6">
        <v>-1.20857821687099</v>
      </c>
      <c r="AK8" s="6">
        <v>18.2051090682186</v>
      </c>
      <c r="AL8" s="6">
        <v>3.4392282481471</v>
      </c>
      <c r="AM8" s="6">
        <v>38.2148385015622</v>
      </c>
      <c r="AN8" s="6">
        <v>0.620679811670835</v>
      </c>
      <c r="AO8" s="6">
        <v>11.6434099690231</v>
      </c>
      <c r="AP8" s="6">
        <v>-11.0081627279054</v>
      </c>
      <c r="AQ8" s="6">
        <v>0.859971537922655</v>
      </c>
      <c r="AR8" s="6">
        <v>0.129464025245566</v>
      </c>
      <c r="AS8" s="6">
        <v>-1.00400299261504</v>
      </c>
      <c r="AT8" s="6">
        <v>266950690.740137</v>
      </c>
      <c r="AU8" s="6">
        <v>240866959.17</v>
      </c>
      <c r="AV8" s="6">
        <v>-9.7709923498674</v>
      </c>
      <c r="AW8" s="6">
        <v>-1.48826171712527</v>
      </c>
      <c r="AX8" s="6">
        <v>-0.179550654026418</v>
      </c>
      <c r="AY8" s="6">
        <v>11.1247269556819</v>
      </c>
      <c r="AZ8" s="6">
        <v>-11.3542772083184</v>
      </c>
      <c r="BA8" s="6">
        <v>0.271046782718518</v>
      </c>
      <c r="BB8" s="6">
        <v>-0.221047184108403</v>
      </c>
      <c r="BC8" s="6">
        <v>-1.30871106309886</v>
      </c>
      <c r="BD8" s="6">
        <v>297.452015292233</v>
      </c>
      <c r="BE8" s="6">
        <v>315.110597142047</v>
      </c>
      <c r="BF8" s="6">
        <v>937.229943969115</v>
      </c>
      <c r="BG8" s="6">
        <v>1363.04337491863</v>
      </c>
      <c r="BH8" s="6">
        <v>47.2096498547592</v>
      </c>
      <c r="BI8" s="6">
        <v>82.0471453673166</v>
      </c>
      <c r="BJ8" s="6">
        <v>85.018321897105</v>
      </c>
      <c r="BK8" s="6">
        <v>293.025150821821</v>
      </c>
      <c r="BL8" s="6">
        <v>314.532124871165</v>
      </c>
      <c r="BM8" s="6">
        <v>1209.96213409986</v>
      </c>
      <c r="BN8" s="6">
        <v>1021.40699304561</v>
      </c>
      <c r="BO8" s="6">
        <v>49.0550927712457</v>
      </c>
      <c r="BP8" s="6">
        <v>79.5770459716106</v>
      </c>
      <c r="BQ8" s="6">
        <v>34.2950914142807</v>
      </c>
      <c r="BR8" s="6">
        <v>-4.42686447041194</v>
      </c>
      <c r="BS8" s="6">
        <v>-0.578472270882003</v>
      </c>
      <c r="BT8" s="6">
        <v>272.732190130748</v>
      </c>
      <c r="BU8" s="6">
        <v>-341.636381873018</v>
      </c>
      <c r="BV8" s="6">
        <v>1.84544291648643</v>
      </c>
      <c r="BW8" s="6">
        <v>-2.47009939570603</v>
      </c>
      <c r="BX8" s="6">
        <v>-50.7232304828242</v>
      </c>
    </row>
    <row r="9" s="1" customFormat="1" ht="14.3" customHeight="1" spans="1:76">
      <c r="A9" s="5" t="s">
        <v>47</v>
      </c>
      <c r="B9" s="5" t="s">
        <v>97</v>
      </c>
      <c r="C9" s="5" t="s">
        <v>97</v>
      </c>
      <c r="D9" s="5" t="s">
        <v>97</v>
      </c>
      <c r="E9" s="5" t="s">
        <v>138</v>
      </c>
      <c r="F9" s="5">
        <v>193667</v>
      </c>
      <c r="G9" s="5">
        <v>178596</v>
      </c>
      <c r="H9" s="5">
        <v>34637</v>
      </c>
      <c r="I9" s="5">
        <v>26854</v>
      </c>
      <c r="J9" s="5">
        <v>65573</v>
      </c>
      <c r="K9" s="5">
        <v>51532</v>
      </c>
      <c r="L9" s="5">
        <v>15071</v>
      </c>
      <c r="M9" s="6">
        <v>92.2180856831572</v>
      </c>
      <c r="N9" s="6">
        <v>-0.103257286716352</v>
      </c>
      <c r="O9" s="6">
        <v>-1.12770890239432</v>
      </c>
      <c r="P9" s="6">
        <v>17.8848229176886</v>
      </c>
      <c r="Q9" s="6">
        <v>13.8660690773338</v>
      </c>
      <c r="R9" s="6">
        <v>33.8586336340213</v>
      </c>
      <c r="S9" s="6">
        <v>26.6085600541135</v>
      </c>
      <c r="T9" s="6">
        <v>7.78191431684283</v>
      </c>
      <c r="U9" s="6">
        <v>16.6806941812493</v>
      </c>
      <c r="V9" s="6">
        <v>1054123487.46194</v>
      </c>
      <c r="W9" s="6">
        <v>685553109.13</v>
      </c>
      <c r="X9" s="6">
        <v>597532290.43</v>
      </c>
      <c r="Y9" s="6">
        <v>71577536.92</v>
      </c>
      <c r="Z9" s="6">
        <v>16443281.78</v>
      </c>
      <c r="AA9" s="6">
        <v>222685828.69</v>
      </c>
      <c r="AB9" s="6">
        <v>-17195882.511294</v>
      </c>
      <c r="AC9" s="6">
        <v>45879698.083484</v>
      </c>
      <c r="AD9" s="6">
        <v>-56783454.61791</v>
      </c>
      <c r="AE9" s="6">
        <v>2449110.53003667</v>
      </c>
      <c r="AF9" s="6">
        <v>-541904.472583333</v>
      </c>
      <c r="AG9" s="6">
        <v>-8199332.03432134</v>
      </c>
      <c r="AH9" s="6">
        <v>97.5530548295583</v>
      </c>
      <c r="AI9" s="6">
        <v>-2.71367293553014</v>
      </c>
      <c r="AJ9" s="6">
        <v>-0.262690525426414</v>
      </c>
      <c r="AK9" s="6">
        <v>10.1853631625751</v>
      </c>
      <c r="AL9" s="6">
        <v>2.33985135170328</v>
      </c>
      <c r="AM9" s="6">
        <v>31.6878190276602</v>
      </c>
      <c r="AN9" s="6">
        <v>-2.44694517044164</v>
      </c>
      <c r="AO9" s="6">
        <v>6.52860390113552</v>
      </c>
      <c r="AP9" s="6">
        <v>-8.08019012382932</v>
      </c>
      <c r="AQ9" s="6">
        <v>0.348504310808997</v>
      </c>
      <c r="AR9" s="6">
        <v>-0.0771120953610616</v>
      </c>
      <c r="AS9" s="6">
        <v>-1.16675116319577</v>
      </c>
      <c r="AT9" s="6">
        <v>88400007.26831</v>
      </c>
      <c r="AU9" s="6">
        <v>84078840.5</v>
      </c>
      <c r="AV9" s="6">
        <v>-4.88819729979713</v>
      </c>
      <c r="AW9" s="6">
        <v>-3.0609371092552</v>
      </c>
      <c r="AX9" s="6">
        <v>-1.81959046789426</v>
      </c>
      <c r="AY9" s="6">
        <v>6.40019041880693</v>
      </c>
      <c r="AZ9" s="6">
        <v>-8.24438162869431</v>
      </c>
      <c r="BA9" s="6">
        <v>0.158416849168295</v>
      </c>
      <c r="BB9" s="6">
        <v>-0.133816107175145</v>
      </c>
      <c r="BC9" s="6">
        <v>-1.24134664136095</v>
      </c>
      <c r="BD9" s="6">
        <v>456.453640880016</v>
      </c>
      <c r="BE9" s="6">
        <v>483.579904041087</v>
      </c>
      <c r="BF9" s="6">
        <v>1075.16031507749</v>
      </c>
      <c r="BG9" s="6">
        <v>1372.85234216478</v>
      </c>
      <c r="BH9" s="6">
        <v>96.1657780461623</v>
      </c>
      <c r="BI9" s="6">
        <v>115.513726392707</v>
      </c>
      <c r="BJ9" s="6">
        <v>134.999052895495</v>
      </c>
      <c r="BK9" s="6">
        <v>442.481881999773</v>
      </c>
      <c r="BL9" s="6">
        <v>474.573441937389</v>
      </c>
      <c r="BM9" s="6">
        <v>1238.50496950515</v>
      </c>
      <c r="BN9" s="6">
        <v>1101.45761664929</v>
      </c>
      <c r="BO9" s="6">
        <v>98.3014208591951</v>
      </c>
      <c r="BP9" s="6">
        <v>113.218192579368</v>
      </c>
      <c r="BQ9" s="6">
        <v>62.186995222613</v>
      </c>
      <c r="BR9" s="6">
        <v>-13.9717588802429</v>
      </c>
      <c r="BS9" s="6">
        <v>-9.00646210369774</v>
      </c>
      <c r="BT9" s="6">
        <v>163.344654427664</v>
      </c>
      <c r="BU9" s="6">
        <v>-271.394725515491</v>
      </c>
      <c r="BV9" s="6">
        <v>2.13564281303282</v>
      </c>
      <c r="BW9" s="6">
        <v>-2.29553381333925</v>
      </c>
      <c r="BX9" s="6">
        <v>-72.8120576728817</v>
      </c>
    </row>
    <row r="10" s="1" customFormat="1" ht="14.3" customHeight="1" spans="1:76">
      <c r="A10" s="5" t="s">
        <v>48</v>
      </c>
      <c r="B10" s="5" t="s">
        <v>97</v>
      </c>
      <c r="C10" s="5" t="s">
        <v>97</v>
      </c>
      <c r="D10" s="5" t="s">
        <v>97</v>
      </c>
      <c r="E10" s="5" t="s">
        <v>138</v>
      </c>
      <c r="F10" s="5">
        <v>233660</v>
      </c>
      <c r="G10" s="5">
        <v>220874</v>
      </c>
      <c r="H10" s="5">
        <v>37339</v>
      </c>
      <c r="I10" s="5">
        <v>37596</v>
      </c>
      <c r="J10" s="5">
        <v>79113</v>
      </c>
      <c r="K10" s="5">
        <v>66826</v>
      </c>
      <c r="L10" s="5">
        <v>12786</v>
      </c>
      <c r="M10" s="6">
        <v>94.527946589061</v>
      </c>
      <c r="N10" s="6">
        <v>0.258400050086816</v>
      </c>
      <c r="O10" s="6">
        <v>-0.702302490798601</v>
      </c>
      <c r="P10" s="6">
        <v>15.9800564923393</v>
      </c>
      <c r="Q10" s="6">
        <v>16.0900453650603</v>
      </c>
      <c r="R10" s="6">
        <v>33.8581699905846</v>
      </c>
      <c r="S10" s="6">
        <v>28.5996747410768</v>
      </c>
      <c r="T10" s="6">
        <v>5.47205341093897</v>
      </c>
      <c r="U10" s="6">
        <v>16.8693828639904</v>
      </c>
      <c r="V10" s="6">
        <v>970449158.109694</v>
      </c>
      <c r="W10" s="6">
        <v>648714184.47</v>
      </c>
      <c r="X10" s="6">
        <v>543276904.47</v>
      </c>
      <c r="Y10" s="6">
        <v>87584446.12</v>
      </c>
      <c r="Z10" s="6">
        <v>17852833.88</v>
      </c>
      <c r="AA10" s="6">
        <v>216070320.65</v>
      </c>
      <c r="AB10" s="6">
        <v>1748079.06353733</v>
      </c>
      <c r="AC10" s="6">
        <v>58116189.437442</v>
      </c>
      <c r="AD10" s="6">
        <v>-52991549.1045333</v>
      </c>
      <c r="AE10" s="6">
        <v>2745640.371572</v>
      </c>
      <c r="AF10" s="6">
        <v>-752388.37811</v>
      </c>
      <c r="AG10" s="6">
        <v>-5369813.26283333</v>
      </c>
      <c r="AH10" s="6">
        <v>100.270196390341</v>
      </c>
      <c r="AI10" s="6">
        <v>6.32958759359575</v>
      </c>
      <c r="AJ10" s="6">
        <v>-0.510272131434175</v>
      </c>
      <c r="AK10" s="6">
        <v>13.5377178785857</v>
      </c>
      <c r="AL10" s="6">
        <v>2.75946973586565</v>
      </c>
      <c r="AM10" s="6">
        <v>33.3974714972513</v>
      </c>
      <c r="AN10" s="6">
        <v>0.270196390340895</v>
      </c>
      <c r="AO10" s="6">
        <v>8.98288008471942</v>
      </c>
      <c r="AP10" s="6">
        <v>-8.19077671329333</v>
      </c>
      <c r="AQ10" s="6">
        <v>0.424387050361321</v>
      </c>
      <c r="AR10" s="6">
        <v>-0.116294867972613</v>
      </c>
      <c r="AS10" s="6">
        <v>-0.829999163473903</v>
      </c>
      <c r="AT10" s="6">
        <v>81602768.5531269</v>
      </c>
      <c r="AU10" s="6">
        <v>78200646.29</v>
      </c>
      <c r="AV10" s="6">
        <v>-4.16912602776708</v>
      </c>
      <c r="AW10" s="6">
        <v>-0.62926234425813</v>
      </c>
      <c r="AX10" s="6">
        <v>0.452145895720186</v>
      </c>
      <c r="AY10" s="6">
        <v>8.76806758872133</v>
      </c>
      <c r="AZ10" s="6">
        <v>-8.34468166611494</v>
      </c>
      <c r="BA10" s="6">
        <v>0.220820359035593</v>
      </c>
      <c r="BB10" s="6">
        <v>-0.192060385921785</v>
      </c>
      <c r="BC10" s="6">
        <v>-1.08140823997838</v>
      </c>
      <c r="BD10" s="6">
        <v>349.237218835603</v>
      </c>
      <c r="BE10" s="6">
        <v>362.767353389004</v>
      </c>
      <c r="BF10" s="6">
        <v>867.400666501352</v>
      </c>
      <c r="BG10" s="6">
        <v>917.316454815539</v>
      </c>
      <c r="BH10" s="6">
        <v>79.0795410014536</v>
      </c>
      <c r="BI10" s="6">
        <v>104.665156727262</v>
      </c>
      <c r="BJ10" s="6">
        <v>115.508535952135</v>
      </c>
      <c r="BK10" s="6">
        <v>347.039600525336</v>
      </c>
      <c r="BL10" s="6">
        <v>364.437824195016</v>
      </c>
      <c r="BM10" s="6">
        <v>1059.02298903291</v>
      </c>
      <c r="BN10" s="6">
        <v>736.193695306682</v>
      </c>
      <c r="BO10" s="6">
        <v>81.3572390599522</v>
      </c>
      <c r="BP10" s="6">
        <v>102.319863095951</v>
      </c>
      <c r="BQ10" s="6">
        <v>46.4909336383544</v>
      </c>
      <c r="BR10" s="6">
        <v>-2.19761831026682</v>
      </c>
      <c r="BS10" s="6">
        <v>1.67047080601162</v>
      </c>
      <c r="BT10" s="6">
        <v>191.622322531562</v>
      </c>
      <c r="BU10" s="6">
        <v>-181.122759508857</v>
      </c>
      <c r="BV10" s="6">
        <v>2.27769805849859</v>
      </c>
      <c r="BW10" s="6">
        <v>-2.34529363131112</v>
      </c>
      <c r="BX10" s="6">
        <v>-69.0176023137807</v>
      </c>
    </row>
    <row r="11" s="1" customFormat="1" ht="14.3" customHeight="1" spans="1:76">
      <c r="A11" s="5" t="s">
        <v>50</v>
      </c>
      <c r="B11" s="5" t="s">
        <v>97</v>
      </c>
      <c r="C11" s="5" t="s">
        <v>97</v>
      </c>
      <c r="D11" s="5" t="s">
        <v>97</v>
      </c>
      <c r="E11" s="5" t="s">
        <v>138</v>
      </c>
      <c r="F11" s="5">
        <v>156851</v>
      </c>
      <c r="G11" s="5">
        <v>147705</v>
      </c>
      <c r="H11" s="5">
        <v>25523</v>
      </c>
      <c r="I11" s="5">
        <v>18230</v>
      </c>
      <c r="J11" s="5">
        <v>56110</v>
      </c>
      <c r="K11" s="5">
        <v>47842</v>
      </c>
      <c r="L11" s="5">
        <v>9146</v>
      </c>
      <c r="M11" s="6">
        <v>94.1689884030067</v>
      </c>
      <c r="N11" s="6">
        <v>0.104788322410254</v>
      </c>
      <c r="O11" s="6">
        <v>-1.14248554360509</v>
      </c>
      <c r="P11" s="6">
        <v>16.2721308757993</v>
      </c>
      <c r="Q11" s="6">
        <v>11.6224952343307</v>
      </c>
      <c r="R11" s="6">
        <v>35.7728034886612</v>
      </c>
      <c r="S11" s="6">
        <v>30.5015588042155</v>
      </c>
      <c r="T11" s="6">
        <v>5.83101159699333</v>
      </c>
      <c r="U11" s="6">
        <v>12.2817195937546</v>
      </c>
      <c r="V11" s="6">
        <v>453891884.663617</v>
      </c>
      <c r="W11" s="6">
        <v>307382890.73</v>
      </c>
      <c r="X11" s="6">
        <v>260581707.53</v>
      </c>
      <c r="Y11" s="6">
        <v>39488991.91</v>
      </c>
      <c r="Z11" s="6">
        <v>7312191.29</v>
      </c>
      <c r="AA11" s="6">
        <v>84883196.28</v>
      </c>
      <c r="AB11" s="6">
        <v>4788300.95425533</v>
      </c>
      <c r="AC11" s="6">
        <v>25567403.90805</v>
      </c>
      <c r="AD11" s="6">
        <v>-18665733.938516</v>
      </c>
      <c r="AE11" s="6">
        <v>1697646.40229133</v>
      </c>
      <c r="AF11" s="6">
        <v>-590682.408572</v>
      </c>
      <c r="AG11" s="6">
        <v>-3220333.008998</v>
      </c>
      <c r="AH11" s="6">
        <v>101.582414595649</v>
      </c>
      <c r="AI11" s="6">
        <v>1.81985237281622</v>
      </c>
      <c r="AJ11" s="6">
        <v>-0.34501604536834</v>
      </c>
      <c r="AK11" s="6">
        <v>13.0501315107007</v>
      </c>
      <c r="AL11" s="6">
        <v>2.41649769594993</v>
      </c>
      <c r="AM11" s="6">
        <v>28.0517891423332</v>
      </c>
      <c r="AN11" s="6">
        <v>1.58241459564891</v>
      </c>
      <c r="AO11" s="6">
        <v>8.44939227994731</v>
      </c>
      <c r="AP11" s="6">
        <v>-6.16856168920579</v>
      </c>
      <c r="AQ11" s="6">
        <v>0.561029991828166</v>
      </c>
      <c r="AR11" s="6">
        <v>-0.195205872322357</v>
      </c>
      <c r="AS11" s="6">
        <v>-1.06424011459842</v>
      </c>
      <c r="AT11" s="6">
        <v>38127426.874067</v>
      </c>
      <c r="AU11" s="6">
        <v>37509361.44</v>
      </c>
      <c r="AV11" s="6">
        <v>-1.62105204767276</v>
      </c>
      <c r="AW11" s="6">
        <v>0.774860753543138</v>
      </c>
      <c r="AX11" s="6">
        <v>1.91516351320227</v>
      </c>
      <c r="AY11" s="6">
        <v>8.20625941453482</v>
      </c>
      <c r="AZ11" s="6">
        <v>-6.36349788314523</v>
      </c>
      <c r="BA11" s="6">
        <v>0.333400507447988</v>
      </c>
      <c r="BB11" s="6">
        <v>-0.260998525635322</v>
      </c>
      <c r="BC11" s="6">
        <v>-1.14030275965912</v>
      </c>
      <c r="BD11" s="6">
        <v>243.080546978132</v>
      </c>
      <c r="BE11" s="6">
        <v>252.880637009478</v>
      </c>
      <c r="BF11" s="6">
        <v>643.443552144223</v>
      </c>
      <c r="BG11" s="6">
        <v>727.124561137082</v>
      </c>
      <c r="BH11" s="6">
        <v>64.6972288865621</v>
      </c>
      <c r="BI11" s="6">
        <v>84.517420796664</v>
      </c>
      <c r="BJ11" s="6">
        <v>84.8122003697791</v>
      </c>
      <c r="BK11" s="6">
        <v>244.964082736164</v>
      </c>
      <c r="BL11" s="6">
        <v>257.824292051725</v>
      </c>
      <c r="BM11" s="6">
        <v>766.032415419426</v>
      </c>
      <c r="BN11" s="6">
        <v>594.034160586945</v>
      </c>
      <c r="BO11" s="6">
        <v>66.962725851007</v>
      </c>
      <c r="BP11" s="6">
        <v>82.4374069593662</v>
      </c>
      <c r="BQ11" s="6">
        <v>37.2757799857861</v>
      </c>
      <c r="BR11" s="6">
        <v>1.88353575803157</v>
      </c>
      <c r="BS11" s="6">
        <v>4.94365504224643</v>
      </c>
      <c r="BT11" s="6">
        <v>122.588863275203</v>
      </c>
      <c r="BU11" s="6">
        <v>-133.090400550137</v>
      </c>
      <c r="BV11" s="6">
        <v>2.26549696444484</v>
      </c>
      <c r="BW11" s="6">
        <v>-2.08001383729778</v>
      </c>
      <c r="BX11" s="6">
        <v>-47.536420383993</v>
      </c>
    </row>
    <row r="12" s="1" customFormat="1" ht="14.3" customHeight="1" spans="1:76">
      <c r="A12" s="5" t="s">
        <v>51</v>
      </c>
      <c r="B12" s="5" t="s">
        <v>97</v>
      </c>
      <c r="C12" s="5" t="s">
        <v>97</v>
      </c>
      <c r="D12" s="5" t="s">
        <v>97</v>
      </c>
      <c r="E12" s="5" t="s">
        <v>138</v>
      </c>
      <c r="F12" s="5">
        <v>149471</v>
      </c>
      <c r="G12" s="5">
        <v>137892</v>
      </c>
      <c r="H12" s="5">
        <v>22216</v>
      </c>
      <c r="I12" s="5">
        <v>16763</v>
      </c>
      <c r="J12" s="5">
        <v>62215</v>
      </c>
      <c r="K12" s="5">
        <v>36698</v>
      </c>
      <c r="L12" s="5">
        <v>11579</v>
      </c>
      <c r="M12" s="6">
        <v>92.2533468030588</v>
      </c>
      <c r="N12" s="6">
        <v>1.4471111930549</v>
      </c>
      <c r="O12" s="6">
        <v>-1.01691967003633</v>
      </c>
      <c r="P12" s="6">
        <v>14.8630838088994</v>
      </c>
      <c r="Q12" s="6">
        <v>11.2148844926441</v>
      </c>
      <c r="R12" s="6">
        <v>41.6234587311251</v>
      </c>
      <c r="S12" s="6">
        <v>24.5519197703902</v>
      </c>
      <c r="T12" s="6">
        <v>7.74665319694121</v>
      </c>
      <c r="U12" s="6">
        <v>14.0856754822006</v>
      </c>
      <c r="V12" s="6">
        <v>550936142.955289</v>
      </c>
      <c r="W12" s="6">
        <v>351832420.03</v>
      </c>
      <c r="X12" s="6">
        <v>306697458.17</v>
      </c>
      <c r="Y12" s="6">
        <v>35238518.45</v>
      </c>
      <c r="Z12" s="6">
        <v>9896443.41</v>
      </c>
      <c r="AA12" s="6">
        <v>104087812.47</v>
      </c>
      <c r="AB12" s="6">
        <v>-15458341.9401927</v>
      </c>
      <c r="AC12" s="6">
        <v>26800016.5901473</v>
      </c>
      <c r="AD12" s="6">
        <v>-40701640.42841</v>
      </c>
      <c r="AE12" s="6">
        <v>1706058.90141267</v>
      </c>
      <c r="AF12" s="6">
        <v>339357.009866</v>
      </c>
      <c r="AG12" s="6">
        <v>-3602134.01320867</v>
      </c>
      <c r="AH12" s="6">
        <v>95.7912521792619</v>
      </c>
      <c r="AI12" s="6">
        <v>-4.40525811798443</v>
      </c>
      <c r="AJ12" s="6">
        <v>-0.717463061964146</v>
      </c>
      <c r="AK12" s="6">
        <v>9.59417499666375</v>
      </c>
      <c r="AL12" s="6">
        <v>2.69444386700996</v>
      </c>
      <c r="AM12" s="6">
        <v>28.3393494330378</v>
      </c>
      <c r="AN12" s="6">
        <v>-4.20874782073805</v>
      </c>
      <c r="AO12" s="6">
        <v>7.29667592138412</v>
      </c>
      <c r="AP12" s="6">
        <v>-11.0815856652864</v>
      </c>
      <c r="AQ12" s="6">
        <v>0.464498179115956</v>
      </c>
      <c r="AR12" s="6">
        <v>0.0923946488731836</v>
      </c>
      <c r="AS12" s="6">
        <v>-0.980730904824934</v>
      </c>
      <c r="AT12" s="6">
        <v>47795032.218425</v>
      </c>
      <c r="AU12" s="6">
        <v>41673273.9</v>
      </c>
      <c r="AV12" s="6">
        <v>-12.8083569238919</v>
      </c>
      <c r="AW12" s="6">
        <v>-7.98405093072401</v>
      </c>
      <c r="AX12" s="6">
        <v>-6.86508987815071</v>
      </c>
      <c r="AY12" s="6">
        <v>6.92023415312175</v>
      </c>
      <c r="AZ12" s="6">
        <v>-13.8427701902468</v>
      </c>
      <c r="BA12" s="6">
        <v>0.23498380483297</v>
      </c>
      <c r="BB12" s="6">
        <v>-0.177537645858701</v>
      </c>
      <c r="BC12" s="6">
        <v>-1.11896105257322</v>
      </c>
      <c r="BD12" s="6">
        <v>319.761239427213</v>
      </c>
      <c r="BE12" s="6">
        <v>340.245236292432</v>
      </c>
      <c r="BF12" s="6">
        <v>815.986772570445</v>
      </c>
      <c r="BG12" s="6">
        <v>1295.67994771825</v>
      </c>
      <c r="BH12" s="6">
        <v>55.4393156959254</v>
      </c>
      <c r="BI12" s="6">
        <v>98.6564388737261</v>
      </c>
      <c r="BJ12" s="6">
        <v>75.8214090671906</v>
      </c>
      <c r="BK12" s="6">
        <v>294.23133921463</v>
      </c>
      <c r="BL12" s="6">
        <v>316.450005828837</v>
      </c>
      <c r="BM12" s="6">
        <v>964.86722553565</v>
      </c>
      <c r="BN12" s="6">
        <v>900.991856544175</v>
      </c>
      <c r="BO12" s="6">
        <v>57.2445167765008</v>
      </c>
      <c r="BP12" s="6">
        <v>96.3442100046324</v>
      </c>
      <c r="BQ12" s="6">
        <v>29.633673028759</v>
      </c>
      <c r="BR12" s="6">
        <v>-25.5299002125831</v>
      </c>
      <c r="BS12" s="6">
        <v>-23.7952304635944</v>
      </c>
      <c r="BT12" s="6">
        <v>148.880452965205</v>
      </c>
      <c r="BU12" s="6">
        <v>-394.688091174073</v>
      </c>
      <c r="BV12" s="6">
        <v>1.80520108057541</v>
      </c>
      <c r="BW12" s="6">
        <v>-2.31222886909367</v>
      </c>
      <c r="BX12" s="6">
        <v>-46.1877360384317</v>
      </c>
    </row>
    <row r="13" s="1" customFormat="1" ht="14.3" customHeight="1" spans="1:76">
      <c r="A13" s="5" t="s">
        <v>55</v>
      </c>
      <c r="B13" s="5" t="s">
        <v>97</v>
      </c>
      <c r="C13" s="5" t="s">
        <v>97</v>
      </c>
      <c r="D13" s="5" t="s">
        <v>97</v>
      </c>
      <c r="E13" s="5" t="s">
        <v>138</v>
      </c>
      <c r="F13" s="5">
        <v>61317</v>
      </c>
      <c r="G13" s="5">
        <v>54873</v>
      </c>
      <c r="H13" s="5">
        <v>8997</v>
      </c>
      <c r="I13" s="5">
        <v>7481</v>
      </c>
      <c r="J13" s="5">
        <v>20499</v>
      </c>
      <c r="K13" s="5">
        <v>17896</v>
      </c>
      <c r="L13" s="5">
        <v>6444</v>
      </c>
      <c r="M13" s="6">
        <v>89.4906795831499</v>
      </c>
      <c r="N13" s="6">
        <v>1.00393867377928</v>
      </c>
      <c r="O13" s="6">
        <v>-1.74502992644781</v>
      </c>
      <c r="P13" s="6">
        <v>14.6729292039728</v>
      </c>
      <c r="Q13" s="6">
        <v>12.2005316633234</v>
      </c>
      <c r="R13" s="6">
        <v>33.4311854787416</v>
      </c>
      <c r="S13" s="6">
        <v>29.1860332371121</v>
      </c>
      <c r="T13" s="6">
        <v>10.5093204168501</v>
      </c>
      <c r="U13" s="6">
        <v>17.0980315410082</v>
      </c>
      <c r="V13" s="6">
        <v>208236011.266015</v>
      </c>
      <c r="W13" s="6">
        <v>157756888.26</v>
      </c>
      <c r="X13" s="6">
        <v>132878126.27</v>
      </c>
      <c r="Y13" s="6">
        <v>17806846.41</v>
      </c>
      <c r="Z13" s="6">
        <v>7071915.58</v>
      </c>
      <c r="AA13" s="6">
        <v>32826338.65</v>
      </c>
      <c r="AB13" s="6">
        <v>18932880.7493233</v>
      </c>
      <c r="AC13" s="6">
        <v>31585416.9993207</v>
      </c>
      <c r="AD13" s="6">
        <v>-11287460.5860587</v>
      </c>
      <c r="AE13" s="6">
        <v>765212.887627333</v>
      </c>
      <c r="AF13" s="6">
        <v>-106627.549592667</v>
      </c>
      <c r="AG13" s="6">
        <v>-2023661.00197333</v>
      </c>
      <c r="AH13" s="6">
        <v>113.638045096679</v>
      </c>
      <c r="AI13" s="6">
        <v>14.5852340239789</v>
      </c>
      <c r="AJ13" s="6">
        <v>-2.58744149834731</v>
      </c>
      <c r="AK13" s="6">
        <v>12.826921459266</v>
      </c>
      <c r="AL13" s="6">
        <v>5.0941589331774</v>
      </c>
      <c r="AM13" s="6">
        <v>23.6460099651535</v>
      </c>
      <c r="AN13" s="6">
        <v>13.6380450966792</v>
      </c>
      <c r="AO13" s="6">
        <v>22.752128803724</v>
      </c>
      <c r="AP13" s="6">
        <v>-8.13076987796262</v>
      </c>
      <c r="AQ13" s="6">
        <v>0.551210774957986</v>
      </c>
      <c r="AR13" s="6">
        <v>-0.0768077161181694</v>
      </c>
      <c r="AS13" s="6">
        <v>-1.45771688792207</v>
      </c>
      <c r="AT13" s="6">
        <v>17570738.711427</v>
      </c>
      <c r="AU13" s="6">
        <v>16576619.8</v>
      </c>
      <c r="AV13" s="6">
        <v>-5.65780942824268</v>
      </c>
      <c r="AW13" s="6">
        <v>12.2298348200665</v>
      </c>
      <c r="AX13" s="6">
        <v>13.966464761553</v>
      </c>
      <c r="AY13" s="6">
        <v>22.3558757642352</v>
      </c>
      <c r="AZ13" s="6">
        <v>-8.43400920435545</v>
      </c>
      <c r="BA13" s="6">
        <v>0.254476821215951</v>
      </c>
      <c r="BB13" s="6">
        <v>-0.209878619542713</v>
      </c>
      <c r="BC13" s="6">
        <v>-1.7366299414865</v>
      </c>
      <c r="BD13" s="6">
        <v>286.555746553599</v>
      </c>
      <c r="BE13" s="6">
        <v>309.974959944308</v>
      </c>
      <c r="BF13" s="6">
        <v>786.421489698233</v>
      </c>
      <c r="BG13" s="6">
        <v>883.782949999332</v>
      </c>
      <c r="BH13" s="6">
        <v>73.0942688747256</v>
      </c>
      <c r="BI13" s="6">
        <v>101.915632968317</v>
      </c>
      <c r="BJ13" s="6">
        <v>87.1326403480757</v>
      </c>
      <c r="BK13" s="6">
        <v>321.601041024512</v>
      </c>
      <c r="BL13" s="6">
        <v>354.696608669109</v>
      </c>
      <c r="BM13" s="6">
        <v>1223.02174724908</v>
      </c>
      <c r="BN13" s="6">
        <v>685.692090462505</v>
      </c>
      <c r="BO13" s="6">
        <v>75.2755195375384</v>
      </c>
      <c r="BP13" s="6">
        <v>99.8549923865668</v>
      </c>
      <c r="BQ13" s="6">
        <v>39.7802645872129</v>
      </c>
      <c r="BR13" s="6">
        <v>35.0452944709133</v>
      </c>
      <c r="BS13" s="6">
        <v>44.7216487248009</v>
      </c>
      <c r="BT13" s="6">
        <v>436.60025755085</v>
      </c>
      <c r="BU13" s="6">
        <v>-198.090859536827</v>
      </c>
      <c r="BV13" s="6">
        <v>2.18125066281281</v>
      </c>
      <c r="BW13" s="6">
        <v>-2.06064058175011</v>
      </c>
      <c r="BX13" s="6">
        <v>-47.3523757608628</v>
      </c>
    </row>
    <row r="14" s="1" customFormat="1" ht="14.3" customHeight="1" spans="1:76">
      <c r="A14" s="5" t="s">
        <v>52</v>
      </c>
      <c r="B14" s="5" t="s">
        <v>97</v>
      </c>
      <c r="C14" s="5" t="s">
        <v>97</v>
      </c>
      <c r="D14" s="5" t="s">
        <v>97</v>
      </c>
      <c r="E14" s="5" t="s">
        <v>138</v>
      </c>
      <c r="F14" s="5">
        <v>163563</v>
      </c>
      <c r="G14" s="5">
        <v>151990</v>
      </c>
      <c r="H14" s="5">
        <v>27306</v>
      </c>
      <c r="I14" s="5">
        <v>18494</v>
      </c>
      <c r="J14" s="5">
        <v>59769</v>
      </c>
      <c r="K14" s="5">
        <v>46421</v>
      </c>
      <c r="L14" s="5">
        <v>11573</v>
      </c>
      <c r="M14" s="6">
        <v>92.9244389012185</v>
      </c>
      <c r="N14" s="6">
        <v>0.97899387570104</v>
      </c>
      <c r="O14" s="6">
        <v>-0.919523364086017</v>
      </c>
      <c r="P14" s="6">
        <v>16.6944846939711</v>
      </c>
      <c r="Q14" s="6">
        <v>11.3069581751374</v>
      </c>
      <c r="R14" s="6">
        <v>36.5418829441866</v>
      </c>
      <c r="S14" s="6">
        <v>28.3811130879233</v>
      </c>
      <c r="T14" s="6">
        <v>7.07556109878151</v>
      </c>
      <c r="U14" s="6">
        <v>13.3978956120883</v>
      </c>
      <c r="V14" s="6">
        <v>430611589.110239</v>
      </c>
      <c r="W14" s="6">
        <v>295381534.64</v>
      </c>
      <c r="X14" s="6">
        <v>252798492.25</v>
      </c>
      <c r="Y14" s="6">
        <v>31152194.99</v>
      </c>
      <c r="Z14" s="6">
        <v>11430847.4</v>
      </c>
      <c r="AA14" s="6">
        <v>80214946.97</v>
      </c>
      <c r="AB14" s="6">
        <v>8307141.89984067</v>
      </c>
      <c r="AC14" s="6">
        <v>28143601.7292173</v>
      </c>
      <c r="AD14" s="6">
        <v>-19192418.393168</v>
      </c>
      <c r="AE14" s="6">
        <v>3212976.69506333</v>
      </c>
      <c r="AF14" s="6">
        <v>448189.477204667</v>
      </c>
      <c r="AG14" s="6">
        <v>-4305207.60847667</v>
      </c>
      <c r="AH14" s="6">
        <v>102.893724452588</v>
      </c>
      <c r="AI14" s="6">
        <v>-2.53291903176246</v>
      </c>
      <c r="AJ14" s="6">
        <v>-0.269115963206823</v>
      </c>
      <c r="AK14" s="6">
        <v>10.8516105155352</v>
      </c>
      <c r="AL14" s="6">
        <v>3.9818415327439</v>
      </c>
      <c r="AM14" s="6">
        <v>27.9422160243339</v>
      </c>
      <c r="AN14" s="6">
        <v>2.89372445258806</v>
      </c>
      <c r="AO14" s="6">
        <v>9.80359183575494</v>
      </c>
      <c r="AP14" s="6">
        <v>-6.68552085401072</v>
      </c>
      <c r="AQ14" s="6">
        <v>1.11921396554917</v>
      </c>
      <c r="AR14" s="6">
        <v>0.156123112523776</v>
      </c>
      <c r="AS14" s="6">
        <v>-1.4996836072291</v>
      </c>
      <c r="AT14" s="6">
        <v>36564143.255709</v>
      </c>
      <c r="AU14" s="6">
        <v>36246699.19</v>
      </c>
      <c r="AV14" s="6">
        <v>-0.868184066255784</v>
      </c>
      <c r="AW14" s="6">
        <v>0.980601601365327</v>
      </c>
      <c r="AX14" s="6">
        <v>2.63325355876531</v>
      </c>
      <c r="AY14" s="6">
        <v>9.48138878160835</v>
      </c>
      <c r="AZ14" s="6">
        <v>-6.98148055504739</v>
      </c>
      <c r="BA14" s="6">
        <v>0.410054847429225</v>
      </c>
      <c r="BB14" s="6">
        <v>-0.27670951522487</v>
      </c>
      <c r="BC14" s="6">
        <v>-1.65265195739996</v>
      </c>
      <c r="BD14" s="6">
        <v>223.547766033327</v>
      </c>
      <c r="BE14" s="6">
        <v>233.113804437706</v>
      </c>
      <c r="BF14" s="6">
        <v>556.801200862887</v>
      </c>
      <c r="BG14" s="6">
        <v>650.175401766357</v>
      </c>
      <c r="BH14" s="6">
        <v>66.9087717196038</v>
      </c>
      <c r="BI14" s="6">
        <v>90.5525363208246</v>
      </c>
      <c r="BJ14" s="6">
        <v>97.9155032594833</v>
      </c>
      <c r="BK14" s="6">
        <v>225.739879006866</v>
      </c>
      <c r="BL14" s="6">
        <v>239.448606750444</v>
      </c>
      <c r="BM14" s="6">
        <v>683.761889969238</v>
      </c>
      <c r="BN14" s="6">
        <v>512.145848856386</v>
      </c>
      <c r="BO14" s="6">
        <v>69.4173136366678</v>
      </c>
      <c r="BP14" s="6">
        <v>88.3729955192693</v>
      </c>
      <c r="BQ14" s="6">
        <v>45.7010360321438</v>
      </c>
      <c r="BR14" s="6">
        <v>2.19211297353922</v>
      </c>
      <c r="BS14" s="6">
        <v>6.33480231273771</v>
      </c>
      <c r="BT14" s="6">
        <v>126.96068910635</v>
      </c>
      <c r="BU14" s="6">
        <v>-138.029552909971</v>
      </c>
      <c r="BV14" s="6">
        <v>2.50854191706405</v>
      </c>
      <c r="BW14" s="6">
        <v>-2.17954080155532</v>
      </c>
      <c r="BX14" s="6">
        <v>-52.2144672273395</v>
      </c>
    </row>
    <row r="15" s="1" customFormat="1" ht="14.3" customHeight="1" spans="1:76">
      <c r="A15" s="5" t="s">
        <v>53</v>
      </c>
      <c r="B15" s="5" t="s">
        <v>97</v>
      </c>
      <c r="C15" s="5" t="s">
        <v>97</v>
      </c>
      <c r="D15" s="5" t="s">
        <v>97</v>
      </c>
      <c r="E15" s="5" t="s">
        <v>138</v>
      </c>
      <c r="F15" s="5">
        <v>134764</v>
      </c>
      <c r="G15" s="5">
        <v>128657</v>
      </c>
      <c r="H15" s="5">
        <v>12100</v>
      </c>
      <c r="I15" s="5">
        <v>10084</v>
      </c>
      <c r="J15" s="5">
        <v>77887</v>
      </c>
      <c r="K15" s="5">
        <v>28586</v>
      </c>
      <c r="L15" s="5">
        <v>6107</v>
      </c>
      <c r="M15" s="6">
        <v>95.4683743432964</v>
      </c>
      <c r="N15" s="6">
        <v>-0.0995204259722549</v>
      </c>
      <c r="O15" s="6">
        <v>-0.560238639399246</v>
      </c>
      <c r="P15" s="6">
        <v>8.97865898904752</v>
      </c>
      <c r="Q15" s="6">
        <v>7.48271051616159</v>
      </c>
      <c r="R15" s="6">
        <v>57.7951084859458</v>
      </c>
      <c r="S15" s="6">
        <v>21.2118963521415</v>
      </c>
      <c r="T15" s="6">
        <v>4.53162565670357</v>
      </c>
      <c r="U15" s="6">
        <v>8.86586922323469</v>
      </c>
      <c r="V15" s="6">
        <v>415387209.200675</v>
      </c>
      <c r="W15" s="6">
        <v>243233463.22</v>
      </c>
      <c r="X15" s="6">
        <v>209804546.55</v>
      </c>
      <c r="Y15" s="6">
        <v>26597363.61</v>
      </c>
      <c r="Z15" s="6">
        <v>6831553.06</v>
      </c>
      <c r="AA15" s="6">
        <v>74314460.59</v>
      </c>
      <c r="AB15" s="6">
        <v>-33691342.9137833</v>
      </c>
      <c r="AC15" s="6">
        <v>19140659.222136</v>
      </c>
      <c r="AD15" s="6">
        <v>-50872459.6062573</v>
      </c>
      <c r="AE15" s="6">
        <v>1089233.886722</v>
      </c>
      <c r="AF15" s="6">
        <v>-185540.640526</v>
      </c>
      <c r="AG15" s="6">
        <v>-2863235.775858</v>
      </c>
      <c r="AH15" s="6">
        <v>87.833757696121</v>
      </c>
      <c r="AI15" s="6">
        <v>-17.969862655644</v>
      </c>
      <c r="AJ15" s="6">
        <v>-0.449602020216155</v>
      </c>
      <c r="AK15" s="6">
        <v>9.60454355149055</v>
      </c>
      <c r="AL15" s="6">
        <v>2.46693431165558</v>
      </c>
      <c r="AM15" s="6">
        <v>26.8356098637471</v>
      </c>
      <c r="AN15" s="6">
        <v>-12.166242303879</v>
      </c>
      <c r="AO15" s="6">
        <v>6.91186155886991</v>
      </c>
      <c r="AP15" s="6">
        <v>-18.3704957011618</v>
      </c>
      <c r="AQ15" s="6">
        <v>0.393332002982711</v>
      </c>
      <c r="AR15" s="6">
        <v>-0.0670003684813865</v>
      </c>
      <c r="AS15" s="6">
        <v>-1.03393979608846</v>
      </c>
      <c r="AT15" s="6">
        <v>34854594.032653</v>
      </c>
      <c r="AU15" s="6">
        <v>29314755.82</v>
      </c>
      <c r="AV15" s="6">
        <v>-15.8941406905015</v>
      </c>
      <c r="AW15" s="6">
        <v>-12.7685065732905</v>
      </c>
      <c r="AX15" s="6">
        <v>-11.663613463142</v>
      </c>
      <c r="AY15" s="6">
        <v>6.76393472455703</v>
      </c>
      <c r="AZ15" s="6">
        <v>-18.4292447703258</v>
      </c>
      <c r="BA15" s="6">
        <v>0.195772769988582</v>
      </c>
      <c r="BB15" s="6">
        <v>-0.194076187361782</v>
      </c>
      <c r="BC15" s="6">
        <v>-1.10489311014846</v>
      </c>
      <c r="BD15" s="6">
        <v>258.634309108167</v>
      </c>
      <c r="BE15" s="6">
        <v>266.160560780727</v>
      </c>
      <c r="BF15" s="6">
        <v>951.156458460496</v>
      </c>
      <c r="BG15" s="6">
        <v>1880.07264322005</v>
      </c>
      <c r="BH15" s="6">
        <v>22.3716787723754</v>
      </c>
      <c r="BI15" s="6">
        <v>71.1295963835094</v>
      </c>
      <c r="BJ15" s="6">
        <v>100.077741</v>
      </c>
      <c r="BK15" s="6">
        <v>225.610570348906</v>
      </c>
      <c r="BL15" s="6">
        <v>234.562551172886</v>
      </c>
      <c r="BM15" s="6">
        <v>1145.9946393595</v>
      </c>
      <c r="BN15" s="6">
        <v>1243.07954048493</v>
      </c>
      <c r="BO15" s="6">
        <v>23.2477659782762</v>
      </c>
      <c r="BP15" s="6">
        <v>68.7632468690968</v>
      </c>
      <c r="BQ15" s="6">
        <v>37.0179722040282</v>
      </c>
      <c r="BR15" s="6">
        <v>-33.0237387592607</v>
      </c>
      <c r="BS15" s="6">
        <v>-31.598009607841</v>
      </c>
      <c r="BT15" s="6">
        <v>194.838180899008</v>
      </c>
      <c r="BU15" s="6">
        <v>-636.993102735124</v>
      </c>
      <c r="BV15" s="6">
        <v>0.876087205900852</v>
      </c>
      <c r="BW15" s="6">
        <v>-2.36634951441266</v>
      </c>
      <c r="BX15" s="6">
        <v>-63.0597687959718</v>
      </c>
    </row>
    <row r="16" s="1" customFormat="1" ht="14.3" customHeight="1" spans="1:76">
      <c r="A16" s="5" t="s">
        <v>56</v>
      </c>
      <c r="B16" s="5" t="s">
        <v>97</v>
      </c>
      <c r="C16" s="5" t="s">
        <v>97</v>
      </c>
      <c r="D16" s="5" t="s">
        <v>97</v>
      </c>
      <c r="E16" s="5" t="s">
        <v>138</v>
      </c>
      <c r="F16" s="5">
        <v>90055</v>
      </c>
      <c r="G16" s="5">
        <v>84215</v>
      </c>
      <c r="H16" s="5">
        <v>12739</v>
      </c>
      <c r="I16" s="5">
        <v>8566</v>
      </c>
      <c r="J16" s="5">
        <v>31317</v>
      </c>
      <c r="K16" s="5">
        <v>31593</v>
      </c>
      <c r="L16" s="5">
        <v>5840</v>
      </c>
      <c r="M16" s="6">
        <v>93.5150741213703</v>
      </c>
      <c r="N16" s="6">
        <v>-0.247780314421098</v>
      </c>
      <c r="O16" s="6">
        <v>-0.939425906390534</v>
      </c>
      <c r="P16" s="6">
        <v>14.1457997890178</v>
      </c>
      <c r="Q16" s="6">
        <v>9.51196491033257</v>
      </c>
      <c r="R16" s="6">
        <v>34.7754150241519</v>
      </c>
      <c r="S16" s="6">
        <v>35.081894397868</v>
      </c>
      <c r="T16" s="6">
        <v>6.48492587862973</v>
      </c>
      <c r="U16" s="6">
        <v>9.71850535783688</v>
      </c>
      <c r="V16" s="6">
        <v>151233180.391269</v>
      </c>
      <c r="W16" s="6">
        <v>108858989.28</v>
      </c>
      <c r="X16" s="6">
        <v>90199914.43</v>
      </c>
      <c r="Y16" s="6">
        <v>14894837.07</v>
      </c>
      <c r="Z16" s="6">
        <v>3764237.78</v>
      </c>
      <c r="AA16" s="6">
        <v>23745273.38</v>
      </c>
      <c r="AB16" s="6">
        <v>8036869.019154</v>
      </c>
      <c r="AC16" s="6">
        <v>19302554.04153</v>
      </c>
      <c r="AD16" s="6">
        <v>-9476528.88348533</v>
      </c>
      <c r="AE16" s="6">
        <v>1004148.75571133</v>
      </c>
      <c r="AF16" s="6">
        <v>-317306.265284667</v>
      </c>
      <c r="AG16" s="6">
        <v>-2475998.62931733</v>
      </c>
      <c r="AH16" s="6">
        <v>107.971335058577</v>
      </c>
      <c r="AI16" s="6">
        <v>-0.0808061976221865</v>
      </c>
      <c r="AJ16" s="6">
        <v>-2.01983124382393</v>
      </c>
      <c r="AK16" s="6">
        <v>14.773382102523</v>
      </c>
      <c r="AL16" s="6">
        <v>3.73354356192986</v>
      </c>
      <c r="AM16" s="6">
        <v>23.5516504895617</v>
      </c>
      <c r="AN16" s="6">
        <v>7.97133505857751</v>
      </c>
      <c r="AO16" s="6">
        <v>19.1451578201199</v>
      </c>
      <c r="AP16" s="6">
        <v>-9.39925569802316</v>
      </c>
      <c r="AQ16" s="6">
        <v>0.995960760509112</v>
      </c>
      <c r="AR16" s="6">
        <v>-0.314718897463905</v>
      </c>
      <c r="AS16" s="6">
        <v>-2.45580892656438</v>
      </c>
      <c r="AT16" s="6">
        <v>12951918.335543</v>
      </c>
      <c r="AU16" s="6">
        <v>11825491.56</v>
      </c>
      <c r="AV16" s="6">
        <v>-8.69698793924474</v>
      </c>
      <c r="AW16" s="6">
        <v>5.06068141781191</v>
      </c>
      <c r="AX16" s="6">
        <v>7.7971330121243</v>
      </c>
      <c r="AY16" s="6">
        <v>18.4498925154844</v>
      </c>
      <c r="AZ16" s="6">
        <v>-10.8208799001916</v>
      </c>
      <c r="BA16" s="6">
        <v>0.596629691571939</v>
      </c>
      <c r="BB16" s="6">
        <v>-0.428509294740495</v>
      </c>
      <c r="BC16" s="6">
        <v>-2.73645159431235</v>
      </c>
      <c r="BD16" s="6">
        <v>143.822312315174</v>
      </c>
      <c r="BE16" s="6">
        <v>147.755679834424</v>
      </c>
      <c r="BF16" s="6">
        <v>342.041321995369</v>
      </c>
      <c r="BG16" s="6">
        <v>570.895871218772</v>
      </c>
      <c r="BH16" s="6">
        <v>47.401268307373</v>
      </c>
      <c r="BI16" s="6">
        <v>54.1645498659513</v>
      </c>
      <c r="BJ16" s="6">
        <v>87.1016709395548</v>
      </c>
      <c r="BK16" s="6">
        <v>151.100701349175</v>
      </c>
      <c r="BL16" s="6">
        <v>159.747347592472</v>
      </c>
      <c r="BM16" s="6">
        <v>529.623943205903</v>
      </c>
      <c r="BN16" s="6">
        <v>407.282571211767</v>
      </c>
      <c r="BO16" s="6">
        <v>49.8687776606955</v>
      </c>
      <c r="BP16" s="6">
        <v>52.4078261007185</v>
      </c>
      <c r="BQ16" s="6">
        <v>26.4128052226027</v>
      </c>
      <c r="BR16" s="6">
        <v>7.27838903400141</v>
      </c>
      <c r="BS16" s="6">
        <v>11.9916677580479</v>
      </c>
      <c r="BT16" s="6">
        <v>187.582621210534</v>
      </c>
      <c r="BU16" s="6">
        <v>-163.613300007005</v>
      </c>
      <c r="BV16" s="6">
        <v>2.46750935332247</v>
      </c>
      <c r="BW16" s="6">
        <v>-1.75672376523281</v>
      </c>
      <c r="BX16" s="6">
        <v>-60.6888657169521</v>
      </c>
    </row>
    <row r="17" s="1" customFormat="1" ht="14.3" customHeight="1" spans="1:76">
      <c r="A17" s="5" t="s">
        <v>61</v>
      </c>
      <c r="B17" s="5" t="s">
        <v>97</v>
      </c>
      <c r="C17" s="5" t="s">
        <v>97</v>
      </c>
      <c r="D17" s="5" t="s">
        <v>97</v>
      </c>
      <c r="E17" s="5" t="s">
        <v>138</v>
      </c>
      <c r="F17" s="5">
        <v>128228</v>
      </c>
      <c r="G17" s="5">
        <v>117580</v>
      </c>
      <c r="H17" s="5">
        <v>15911</v>
      </c>
      <c r="I17" s="5">
        <v>12399</v>
      </c>
      <c r="J17" s="5">
        <v>52932</v>
      </c>
      <c r="K17" s="5">
        <v>36338</v>
      </c>
      <c r="L17" s="5">
        <v>10648</v>
      </c>
      <c r="M17" s="6">
        <v>91.6960414262096</v>
      </c>
      <c r="N17" s="6">
        <v>0.396189940676117</v>
      </c>
      <c r="O17" s="6">
        <v>-1.09726424805815</v>
      </c>
      <c r="P17" s="6">
        <v>12.4083663474436</v>
      </c>
      <c r="Q17" s="6">
        <v>9.66949496209876</v>
      </c>
      <c r="R17" s="6">
        <v>41.2795957201235</v>
      </c>
      <c r="S17" s="6">
        <v>28.3385843965437</v>
      </c>
      <c r="T17" s="6">
        <v>8.30395857379044</v>
      </c>
      <c r="U17" s="6">
        <v>10.0695635898556</v>
      </c>
      <c r="V17" s="6">
        <v>235687091.097453</v>
      </c>
      <c r="W17" s="6">
        <v>158450571.36</v>
      </c>
      <c r="X17" s="6">
        <v>131265455.82</v>
      </c>
      <c r="Y17" s="6">
        <v>20517063.35</v>
      </c>
      <c r="Z17" s="6">
        <v>6668052.19</v>
      </c>
      <c r="AA17" s="6">
        <v>37065890.02</v>
      </c>
      <c r="AB17" s="6">
        <v>1325843.961698</v>
      </c>
      <c r="AC17" s="6">
        <v>18198557.2482893</v>
      </c>
      <c r="AD17" s="6">
        <v>-20738796.1746933</v>
      </c>
      <c r="AE17" s="6">
        <v>2137514.17672933</v>
      </c>
      <c r="AF17" s="6">
        <v>-226602.360926667</v>
      </c>
      <c r="AG17" s="6">
        <v>1955171.07229933</v>
      </c>
      <c r="AH17" s="6">
        <v>100.843816236726</v>
      </c>
      <c r="AI17" s="6">
        <v>1.822873041305</v>
      </c>
      <c r="AJ17" s="6">
        <v>-0.831477957618928</v>
      </c>
      <c r="AK17" s="6">
        <v>13.0578195359349</v>
      </c>
      <c r="AL17" s="6">
        <v>4.24379555045902</v>
      </c>
      <c r="AM17" s="6">
        <v>23.5901061747208</v>
      </c>
      <c r="AN17" s="6">
        <v>0.843816236725785</v>
      </c>
      <c r="AO17" s="6">
        <v>11.5822363224581</v>
      </c>
      <c r="AP17" s="6">
        <v>-13.198938523611</v>
      </c>
      <c r="AQ17" s="6">
        <v>1.36039324434967</v>
      </c>
      <c r="AR17" s="6">
        <v>-0.144218141013695</v>
      </c>
      <c r="AS17" s="6">
        <v>1.24434333454281</v>
      </c>
      <c r="AT17" s="6">
        <v>20046591.987676</v>
      </c>
      <c r="AU17" s="6">
        <v>18663171.13</v>
      </c>
      <c r="AV17" s="6">
        <v>-6.90102765859896</v>
      </c>
      <c r="AW17" s="6">
        <v>-1.19856067217665</v>
      </c>
      <c r="AX17" s="6">
        <v>-2.19435190815692</v>
      </c>
      <c r="AY17" s="6">
        <v>11.2348364978425</v>
      </c>
      <c r="AZ17" s="6">
        <v>-13.5619412497564</v>
      </c>
      <c r="BA17" s="6">
        <v>0.517806415688085</v>
      </c>
      <c r="BB17" s="6">
        <v>-0.3850535719311</v>
      </c>
      <c r="BC17" s="6">
        <v>0.995791235980267</v>
      </c>
      <c r="BD17" s="6">
        <v>156.335527245812</v>
      </c>
      <c r="BE17" s="6">
        <v>165.789051497295</v>
      </c>
      <c r="BF17" s="6">
        <v>416.557984054742</v>
      </c>
      <c r="BG17" s="6">
        <v>758.089800624809</v>
      </c>
      <c r="BH17" s="6">
        <v>33.456120103359</v>
      </c>
      <c r="BI17" s="6">
        <v>46.6500028482305</v>
      </c>
      <c r="BJ17" s="6">
        <v>51.9454651224643</v>
      </c>
      <c r="BK17" s="6">
        <v>154.461751099604</v>
      </c>
      <c r="BL17" s="6">
        <v>162.047830423967</v>
      </c>
      <c r="BM17" s="6">
        <v>558.107970429263</v>
      </c>
      <c r="BN17" s="6">
        <v>538.821550931527</v>
      </c>
      <c r="BO17" s="6">
        <v>35.4171746533288</v>
      </c>
      <c r="BP17" s="6">
        <v>44.5257770102923</v>
      </c>
      <c r="BQ17" s="6">
        <v>70.6928548788505</v>
      </c>
      <c r="BR17" s="6">
        <v>-1.87377614620831</v>
      </c>
      <c r="BS17" s="6">
        <v>-3.7412210733288</v>
      </c>
      <c r="BT17" s="6">
        <v>141.549986374521</v>
      </c>
      <c r="BU17" s="6">
        <v>-219.268249693282</v>
      </c>
      <c r="BV17" s="6">
        <v>1.96105454996977</v>
      </c>
      <c r="BW17" s="6">
        <v>-2.12422583793825</v>
      </c>
      <c r="BX17" s="6">
        <v>18.7473897563862</v>
      </c>
    </row>
    <row r="18" s="1" customFormat="1" ht="14.3" customHeight="1" spans="1:76">
      <c r="A18" s="5" t="s">
        <v>66</v>
      </c>
      <c r="B18" s="5" t="s">
        <v>97</v>
      </c>
      <c r="C18" s="5" t="s">
        <v>97</v>
      </c>
      <c r="D18" s="5" t="s">
        <v>97</v>
      </c>
      <c r="E18" s="5" t="s">
        <v>138</v>
      </c>
      <c r="F18" s="5">
        <v>78104</v>
      </c>
      <c r="G18" s="5">
        <v>68965</v>
      </c>
      <c r="H18" s="5">
        <v>10806</v>
      </c>
      <c r="I18" s="5">
        <v>6701</v>
      </c>
      <c r="J18" s="5">
        <v>29146</v>
      </c>
      <c r="K18" s="5">
        <v>22312</v>
      </c>
      <c r="L18" s="5">
        <v>9139</v>
      </c>
      <c r="M18" s="6">
        <v>88.2989347536618</v>
      </c>
      <c r="N18" s="6">
        <v>-2.17926318627891</v>
      </c>
      <c r="O18" s="6">
        <v>-0.894960565399983</v>
      </c>
      <c r="P18" s="6">
        <v>13.8353989552392</v>
      </c>
      <c r="Q18" s="6">
        <v>8.57958619276862</v>
      </c>
      <c r="R18" s="6">
        <v>37.3169107856192</v>
      </c>
      <c r="S18" s="6">
        <v>28.5670388200348</v>
      </c>
      <c r="T18" s="6">
        <v>11.7010652463382</v>
      </c>
      <c r="U18" s="6">
        <v>46.2101812967326</v>
      </c>
      <c r="V18" s="6">
        <v>217297429.256155</v>
      </c>
      <c r="W18" s="6">
        <v>149186203.34</v>
      </c>
      <c r="X18" s="6">
        <v>125349750.11</v>
      </c>
      <c r="Y18" s="6">
        <v>16502757.62</v>
      </c>
      <c r="Z18" s="6">
        <v>7333695.61</v>
      </c>
      <c r="AA18" s="6">
        <v>29982036</v>
      </c>
      <c r="AB18" s="6">
        <v>4321250.50256333</v>
      </c>
      <c r="AC18" s="6">
        <v>17930784.5357353</v>
      </c>
      <c r="AD18" s="6">
        <v>-12859153.433368</v>
      </c>
      <c r="AE18" s="6">
        <v>1150307.03281267</v>
      </c>
      <c r="AF18" s="6">
        <v>-75227.5841766667</v>
      </c>
      <c r="AG18" s="6">
        <v>-1825460.04844</v>
      </c>
      <c r="AH18" s="6">
        <v>102.982950960825</v>
      </c>
      <c r="AI18" s="6">
        <v>1.62164620325017</v>
      </c>
      <c r="AJ18" s="6">
        <v>-0.121808838981829</v>
      </c>
      <c r="AK18" s="6">
        <v>11.3918220361545</v>
      </c>
      <c r="AL18" s="6">
        <v>5.06243605948615</v>
      </c>
      <c r="AM18" s="6">
        <v>20.6965421330341</v>
      </c>
      <c r="AN18" s="6">
        <v>2.98295096082523</v>
      </c>
      <c r="AO18" s="6">
        <v>12.3775862860748</v>
      </c>
      <c r="AP18" s="6">
        <v>-8.87664903173522</v>
      </c>
      <c r="AQ18" s="6">
        <v>0.79405474566613</v>
      </c>
      <c r="AR18" s="6">
        <v>-0.051929457541801</v>
      </c>
      <c r="AS18" s="6">
        <v>-1.26011158163871</v>
      </c>
      <c r="AT18" s="6">
        <v>18389952.439495</v>
      </c>
      <c r="AU18" s="6">
        <v>18493874.39</v>
      </c>
      <c r="AV18" s="6">
        <v>0.565101790485434</v>
      </c>
      <c r="AW18" s="6">
        <v>1.40469628105302</v>
      </c>
      <c r="AX18" s="6">
        <v>3.20219366209075</v>
      </c>
      <c r="AY18" s="6">
        <v>12.0415600061813</v>
      </c>
      <c r="AZ18" s="6">
        <v>-8.95555858351761</v>
      </c>
      <c r="BA18" s="6">
        <v>0.361412971554291</v>
      </c>
      <c r="BB18" s="6">
        <v>-0.245220732127344</v>
      </c>
      <c r="BC18" s="6">
        <v>-1.79749738103769</v>
      </c>
      <c r="BD18" s="6">
        <v>235.454681443908</v>
      </c>
      <c r="BE18" s="6">
        <v>259.048851606192</v>
      </c>
      <c r="BF18" s="6">
        <v>758.883032980752</v>
      </c>
      <c r="BG18" s="6">
        <v>1028.38218966572</v>
      </c>
      <c r="BH18" s="6">
        <v>46.9676384039319</v>
      </c>
      <c r="BI18" s="6">
        <v>62.957428951237</v>
      </c>
      <c r="BJ18" s="6">
        <v>57.407636335923</v>
      </c>
      <c r="BK18" s="6">
        <v>238.762104597716</v>
      </c>
      <c r="BL18" s="6">
        <v>267.587703074023</v>
      </c>
      <c r="BM18" s="6">
        <v>963.809662456043</v>
      </c>
      <c r="BN18" s="6">
        <v>782.609474518729</v>
      </c>
      <c r="BO18" s="6">
        <v>49.2480087319015</v>
      </c>
      <c r="BP18" s="6">
        <v>60.9362754907673</v>
      </c>
      <c r="BQ18" s="6">
        <v>21.2374958967064</v>
      </c>
      <c r="BR18" s="6">
        <v>3.30742315380783</v>
      </c>
      <c r="BS18" s="6">
        <v>8.53885146783165</v>
      </c>
      <c r="BT18" s="6">
        <v>204.926629475291</v>
      </c>
      <c r="BU18" s="6">
        <v>-245.772715146993</v>
      </c>
      <c r="BV18" s="6">
        <v>2.28037032796952</v>
      </c>
      <c r="BW18" s="6">
        <v>-2.0211534604697</v>
      </c>
      <c r="BX18" s="6">
        <v>-36.1701404392166</v>
      </c>
    </row>
    <row r="19" s="1" customFormat="1" ht="14.3" customHeight="1" spans="1:76">
      <c r="A19" s="5" t="s">
        <v>60</v>
      </c>
      <c r="B19" s="5" t="s">
        <v>97</v>
      </c>
      <c r="C19" s="5" t="s">
        <v>97</v>
      </c>
      <c r="D19" s="5" t="s">
        <v>97</v>
      </c>
      <c r="E19" s="5" t="s">
        <v>138</v>
      </c>
      <c r="F19" s="5">
        <v>99848</v>
      </c>
      <c r="G19" s="5">
        <v>92815</v>
      </c>
      <c r="H19" s="5">
        <v>11957</v>
      </c>
      <c r="I19" s="5">
        <v>8929</v>
      </c>
      <c r="J19" s="5">
        <v>40995</v>
      </c>
      <c r="K19" s="5">
        <v>30934</v>
      </c>
      <c r="L19" s="5">
        <v>7033</v>
      </c>
      <c r="M19" s="6">
        <v>92.9562935662207</v>
      </c>
      <c r="N19" s="6">
        <v>0.344869721820606</v>
      </c>
      <c r="O19" s="6">
        <v>-0.94643858665171</v>
      </c>
      <c r="P19" s="6">
        <v>11.9752023075074</v>
      </c>
      <c r="Q19" s="6">
        <v>8.94259274096627</v>
      </c>
      <c r="R19" s="6">
        <v>41.0574072590337</v>
      </c>
      <c r="S19" s="6">
        <v>30.9810912587132</v>
      </c>
      <c r="T19" s="6">
        <v>7.04370643377934</v>
      </c>
      <c r="U19" s="6">
        <v>12.584127874369</v>
      </c>
      <c r="V19" s="6">
        <v>215077456.227645</v>
      </c>
      <c r="W19" s="6">
        <v>148029542.87</v>
      </c>
      <c r="X19" s="6">
        <v>127763734.61</v>
      </c>
      <c r="Y19" s="6">
        <v>13525687.41</v>
      </c>
      <c r="Z19" s="6">
        <v>6740120.85</v>
      </c>
      <c r="AA19" s="6">
        <v>27666167.05</v>
      </c>
      <c r="AB19" s="6">
        <v>4644572.05157</v>
      </c>
      <c r="AC19" s="6">
        <v>14949363.26927</v>
      </c>
      <c r="AD19" s="6">
        <v>-9829387.82747333</v>
      </c>
      <c r="AE19" s="6">
        <v>1228252.89240533</v>
      </c>
      <c r="AF19" s="6">
        <v>-279724.315807333</v>
      </c>
      <c r="AG19" s="6">
        <v>-1423931.96682467</v>
      </c>
      <c r="AH19" s="6">
        <v>103.239232135041</v>
      </c>
      <c r="AI19" s="6">
        <v>-1.92902287017299</v>
      </c>
      <c r="AJ19" s="6">
        <v>-0.673020637224053</v>
      </c>
      <c r="AK19" s="6">
        <v>9.43312770703684</v>
      </c>
      <c r="AL19" s="6">
        <v>4.70071640809209</v>
      </c>
      <c r="AM19" s="6">
        <v>19.2950257562447</v>
      </c>
      <c r="AN19" s="6">
        <v>3.23923213504118</v>
      </c>
      <c r="AO19" s="6">
        <v>10.4260322291383</v>
      </c>
      <c r="AP19" s="6">
        <v>-6.85524275756934</v>
      </c>
      <c r="AQ19" s="6">
        <v>0.856612018257258</v>
      </c>
      <c r="AR19" s="6">
        <v>-0.195086217342508</v>
      </c>
      <c r="AS19" s="6">
        <v>-0.993083137442493</v>
      </c>
      <c r="AT19" s="6">
        <v>18148631.979525</v>
      </c>
      <c r="AU19" s="6">
        <v>17659308.72</v>
      </c>
      <c r="AV19" s="6">
        <v>-2.69619914094376</v>
      </c>
      <c r="AW19" s="6">
        <v>1.95640574796809</v>
      </c>
      <c r="AX19" s="6">
        <v>3.14589080717555</v>
      </c>
      <c r="AY19" s="6">
        <v>10.1060224809297</v>
      </c>
      <c r="AZ19" s="6">
        <v>-7.06229292256301</v>
      </c>
      <c r="BA19" s="6">
        <v>0.415424496965161</v>
      </c>
      <c r="BB19" s="6">
        <v>-0.31326324815634</v>
      </c>
      <c r="BC19" s="6">
        <v>-1.18948505920748</v>
      </c>
      <c r="BD19" s="6">
        <v>181.762598945647</v>
      </c>
      <c r="BE19" s="6">
        <v>191.357010827215</v>
      </c>
      <c r="BF19" s="6">
        <v>636.203582810738</v>
      </c>
      <c r="BG19" s="6">
        <v>731.122576501512</v>
      </c>
      <c r="BH19" s="6">
        <v>45.9423705486767</v>
      </c>
      <c r="BI19" s="6">
        <v>56.3171188347773</v>
      </c>
      <c r="BJ19" s="6">
        <v>55.1444646092706</v>
      </c>
      <c r="BK19" s="6">
        <v>185.318612879076</v>
      </c>
      <c r="BL19" s="6">
        <v>197.508345687658</v>
      </c>
      <c r="BM19" s="6">
        <v>789.595305469599</v>
      </c>
      <c r="BN19" s="6">
        <v>587.577996836152</v>
      </c>
      <c r="BO19" s="6">
        <v>47.7814695389682</v>
      </c>
      <c r="BP19" s="6">
        <v>54.4792383784832</v>
      </c>
      <c r="BQ19" s="6">
        <v>24.4498441276838</v>
      </c>
      <c r="BR19" s="6">
        <v>3.55601393342886</v>
      </c>
      <c r="BS19" s="6">
        <v>6.1513348604428</v>
      </c>
      <c r="BT19" s="6">
        <v>153.391722658861</v>
      </c>
      <c r="BU19" s="6">
        <v>-143.54457966536</v>
      </c>
      <c r="BV19" s="6">
        <v>1.8390989902915</v>
      </c>
      <c r="BW19" s="6">
        <v>-1.83788045629405</v>
      </c>
      <c r="BX19" s="6">
        <v>-30.6946204815868</v>
      </c>
    </row>
    <row r="20" s="1" customFormat="1" ht="14.3" customHeight="1" spans="1:76">
      <c r="A20" s="5" t="s">
        <v>65</v>
      </c>
      <c r="B20" s="5" t="s">
        <v>97</v>
      </c>
      <c r="C20" s="5" t="s">
        <v>97</v>
      </c>
      <c r="D20" s="5" t="s">
        <v>97</v>
      </c>
      <c r="E20" s="5" t="s">
        <v>138</v>
      </c>
      <c r="F20" s="5">
        <v>73134</v>
      </c>
      <c r="G20" s="5">
        <v>67179</v>
      </c>
      <c r="H20" s="5">
        <v>8958</v>
      </c>
      <c r="I20" s="5">
        <v>11056</v>
      </c>
      <c r="J20" s="5">
        <v>25491</v>
      </c>
      <c r="K20" s="5">
        <v>21674</v>
      </c>
      <c r="L20" s="5">
        <v>5955</v>
      </c>
      <c r="M20" s="6">
        <v>91.8574124210353</v>
      </c>
      <c r="N20" s="6">
        <v>0.954751635788631</v>
      </c>
      <c r="O20" s="6">
        <v>-0.624880356605684</v>
      </c>
      <c r="P20" s="6">
        <v>12.2487488719337</v>
      </c>
      <c r="Q20" s="6">
        <v>15.1174556293926</v>
      </c>
      <c r="R20" s="6">
        <v>34.8551973090491</v>
      </c>
      <c r="S20" s="6">
        <v>29.6360106106599</v>
      </c>
      <c r="T20" s="6">
        <v>8.14258757896464</v>
      </c>
      <c r="U20" s="6">
        <v>12.5550359613859</v>
      </c>
      <c r="V20" s="6">
        <v>208212893.375043</v>
      </c>
      <c r="W20" s="6">
        <v>139356293.39</v>
      </c>
      <c r="X20" s="6">
        <v>110982616.7</v>
      </c>
      <c r="Y20" s="6">
        <v>19876414.14</v>
      </c>
      <c r="Z20" s="6">
        <v>8497262.55</v>
      </c>
      <c r="AA20" s="6">
        <v>27963086.71</v>
      </c>
      <c r="AB20" s="6">
        <v>547697.806638</v>
      </c>
      <c r="AC20" s="6">
        <v>22197933.3254333</v>
      </c>
      <c r="AD20" s="6">
        <v>-21857174.1689253</v>
      </c>
      <c r="AE20" s="6">
        <v>1266818.54902267</v>
      </c>
      <c r="AF20" s="6">
        <v>68758.0999193333</v>
      </c>
      <c r="AG20" s="6">
        <v>-1128637.998812</v>
      </c>
      <c r="AH20" s="6">
        <v>100.394570526657</v>
      </c>
      <c r="AI20" s="6">
        <v>0.676477181778861</v>
      </c>
      <c r="AJ20" s="6">
        <v>-1.70153249830073</v>
      </c>
      <c r="AK20" s="6">
        <v>14.319296334976</v>
      </c>
      <c r="AL20" s="6">
        <v>6.12156798668634</v>
      </c>
      <c r="AM20" s="6">
        <v>20.1450685330266</v>
      </c>
      <c r="AN20" s="6">
        <v>0.394570526656671</v>
      </c>
      <c r="AO20" s="6">
        <v>15.9917570177434</v>
      </c>
      <c r="AP20" s="6">
        <v>-15.7462685052518</v>
      </c>
      <c r="AQ20" s="6">
        <v>0.912636961492687</v>
      </c>
      <c r="AR20" s="6">
        <v>0.0495344684026</v>
      </c>
      <c r="AS20" s="6">
        <v>-0.813089415730161</v>
      </c>
      <c r="AT20" s="6">
        <v>17693855.115603</v>
      </c>
      <c r="AU20" s="6">
        <v>15352897.48</v>
      </c>
      <c r="AV20" s="6">
        <v>-13.2303425133094</v>
      </c>
      <c r="AW20" s="6">
        <v>-1.55035994169015</v>
      </c>
      <c r="AX20" s="6">
        <v>-0.566088553758269</v>
      </c>
      <c r="AY20" s="6">
        <v>15.5141796016591</v>
      </c>
      <c r="AZ20" s="6">
        <v>-16.154972822109</v>
      </c>
      <c r="BA20" s="6">
        <v>0.456407001427218</v>
      </c>
      <c r="BB20" s="6">
        <v>-0.381702334735651</v>
      </c>
      <c r="BC20" s="6">
        <v>-0.984271387931871</v>
      </c>
      <c r="BD20" s="6">
        <v>241.937472524448</v>
      </c>
      <c r="BE20" s="6">
        <v>259.079727906459</v>
      </c>
      <c r="BF20" s="6">
        <v>805.571504678276</v>
      </c>
      <c r="BG20" s="6">
        <v>717.500533430626</v>
      </c>
      <c r="BH20" s="6">
        <v>44.8828896053509</v>
      </c>
      <c r="BI20" s="6">
        <v>51.2878040777429</v>
      </c>
      <c r="BJ20" s="6">
        <v>48.5538328421494</v>
      </c>
      <c r="BK20" s="6">
        <v>238.186570866492</v>
      </c>
      <c r="BL20" s="6">
        <v>257.588742799089</v>
      </c>
      <c r="BM20" s="6">
        <v>1112.00781424425</v>
      </c>
      <c r="BN20" s="6">
        <v>458.958792736975</v>
      </c>
      <c r="BO20" s="6">
        <v>48.0509094386254</v>
      </c>
      <c r="BP20" s="6">
        <v>48.1717268386085</v>
      </c>
      <c r="BQ20" s="6">
        <v>19.3085678001679</v>
      </c>
      <c r="BR20" s="6">
        <v>-3.75090165795666</v>
      </c>
      <c r="BS20" s="6">
        <v>-1.49098510736985</v>
      </c>
      <c r="BT20" s="6">
        <v>306.436309565975</v>
      </c>
      <c r="BU20" s="6">
        <v>-258.541740693651</v>
      </c>
      <c r="BV20" s="6">
        <v>3.16801983327448</v>
      </c>
      <c r="BW20" s="6">
        <v>-3.11607723913445</v>
      </c>
      <c r="BX20" s="6">
        <v>-29.2452650419815</v>
      </c>
    </row>
    <row r="21" s="1" customFormat="1" ht="14.3" customHeight="1" spans="1:76">
      <c r="A21" s="5" t="s">
        <v>57</v>
      </c>
      <c r="B21" s="5" t="s">
        <v>97</v>
      </c>
      <c r="C21" s="5" t="s">
        <v>97</v>
      </c>
      <c r="D21" s="5" t="s">
        <v>97</v>
      </c>
      <c r="E21" s="5" t="s">
        <v>138</v>
      </c>
      <c r="F21" s="5">
        <v>47149</v>
      </c>
      <c r="G21" s="5">
        <v>45461</v>
      </c>
      <c r="H21" s="5">
        <v>4559</v>
      </c>
      <c r="I21" s="5">
        <v>4330</v>
      </c>
      <c r="J21" s="5">
        <v>27740</v>
      </c>
      <c r="K21" s="5">
        <v>8832</v>
      </c>
      <c r="L21" s="5">
        <v>1688</v>
      </c>
      <c r="M21" s="6">
        <v>96.4198604424272</v>
      </c>
      <c r="N21" s="6">
        <v>0.0733808876243858</v>
      </c>
      <c r="O21" s="6">
        <v>-0.646885405841058</v>
      </c>
      <c r="P21" s="6">
        <v>9.66934611550616</v>
      </c>
      <c r="Q21" s="6">
        <v>9.18365182718615</v>
      </c>
      <c r="R21" s="6">
        <v>58.8347578951834</v>
      </c>
      <c r="S21" s="6">
        <v>18.7321046045515</v>
      </c>
      <c r="T21" s="6">
        <v>3.5801395575728</v>
      </c>
      <c r="U21" s="6">
        <v>8.5028314492354</v>
      </c>
      <c r="V21" s="6">
        <v>89619720.983324</v>
      </c>
      <c r="W21" s="6">
        <v>59382312.16</v>
      </c>
      <c r="X21" s="6">
        <v>45851086.33</v>
      </c>
      <c r="Y21" s="6">
        <v>8120038.21</v>
      </c>
      <c r="Z21" s="6">
        <v>5411187.62</v>
      </c>
      <c r="AA21" s="6">
        <v>13138155.34</v>
      </c>
      <c r="AB21" s="6">
        <v>-364168.495549333</v>
      </c>
      <c r="AC21" s="6">
        <v>9282061.45601333</v>
      </c>
      <c r="AD21" s="6">
        <v>-9817872.712448</v>
      </c>
      <c r="AE21" s="6">
        <v>505032.719405333</v>
      </c>
      <c r="AF21" s="6">
        <v>-106873.409485333</v>
      </c>
      <c r="AG21" s="6">
        <v>-226516.549034667</v>
      </c>
      <c r="AH21" s="6">
        <v>99.3904770765514</v>
      </c>
      <c r="AI21" s="6">
        <v>-0.513170085186233</v>
      </c>
      <c r="AJ21" s="6">
        <v>0.229967190284008</v>
      </c>
      <c r="AK21" s="6">
        <v>13.5908226240365</v>
      </c>
      <c r="AL21" s="6">
        <v>9.05691441676138</v>
      </c>
      <c r="AM21" s="6">
        <v>21.9898397292121</v>
      </c>
      <c r="AN21" s="6">
        <v>-0.609522923448561</v>
      </c>
      <c r="AO21" s="6">
        <v>15.5357459622205</v>
      </c>
      <c r="AP21" s="6">
        <v>-16.4325540261527</v>
      </c>
      <c r="AQ21" s="6">
        <v>0.845292833760285</v>
      </c>
      <c r="AR21" s="6">
        <v>-0.178878167069757</v>
      </c>
      <c r="AS21" s="6">
        <v>-0.379129526206875</v>
      </c>
      <c r="AT21" s="6">
        <v>7532807.635045</v>
      </c>
      <c r="AU21" s="6">
        <v>7543011.66</v>
      </c>
      <c r="AV21" s="6">
        <v>0.135461111571833</v>
      </c>
      <c r="AW21" s="6">
        <v>-1.46052601334408</v>
      </c>
      <c r="AX21" s="6">
        <v>-1.0228883159518</v>
      </c>
      <c r="AY21" s="6">
        <v>15.2982848096202</v>
      </c>
      <c r="AZ21" s="6">
        <v>-16.5357684656653</v>
      </c>
      <c r="BA21" s="6">
        <v>0.478040123797544</v>
      </c>
      <c r="BB21" s="6">
        <v>-0.26344478370423</v>
      </c>
      <c r="BC21" s="6">
        <v>-0.437637697392269</v>
      </c>
      <c r="BD21" s="6">
        <v>159.766010626843</v>
      </c>
      <c r="BE21" s="6">
        <v>163.348402540903</v>
      </c>
      <c r="BF21" s="6">
        <v>703.170834904584</v>
      </c>
      <c r="BG21" s="6">
        <v>679.026118821016</v>
      </c>
      <c r="BH21" s="6">
        <v>25.3491261105263</v>
      </c>
      <c r="BI21" s="6">
        <v>65.3145424344429</v>
      </c>
      <c r="BJ21" s="6">
        <v>63.2854900077014</v>
      </c>
      <c r="BK21" s="6">
        <v>157.432586481155</v>
      </c>
      <c r="BL21" s="6">
        <v>161.653494616264</v>
      </c>
      <c r="BM21" s="6">
        <v>955.943453059881</v>
      </c>
      <c r="BN21" s="6">
        <v>391.356920323326</v>
      </c>
      <c r="BO21" s="6">
        <v>26.6472458994232</v>
      </c>
      <c r="BP21" s="6">
        <v>63.0676234148551</v>
      </c>
      <c r="BQ21" s="6">
        <v>43.7556287026066</v>
      </c>
      <c r="BR21" s="6">
        <v>-2.33342414568708</v>
      </c>
      <c r="BS21" s="6">
        <v>-1.69490792463873</v>
      </c>
      <c r="BT21" s="6">
        <v>252.772618155297</v>
      </c>
      <c r="BU21" s="6">
        <v>-287.66919849769</v>
      </c>
      <c r="BV21" s="6">
        <v>1.2981197888969</v>
      </c>
      <c r="BW21" s="6">
        <v>-2.24691901958786</v>
      </c>
      <c r="BX21" s="6">
        <v>-19.5298613050948</v>
      </c>
    </row>
    <row r="22" s="1" customFormat="1" ht="14.3" customHeight="1" spans="1:76">
      <c r="A22" s="5" t="s">
        <v>67</v>
      </c>
      <c r="B22" s="5" t="s">
        <v>97</v>
      </c>
      <c r="C22" s="5" t="s">
        <v>97</v>
      </c>
      <c r="D22" s="5" t="s">
        <v>97</v>
      </c>
      <c r="E22" s="5" t="s">
        <v>138</v>
      </c>
      <c r="F22" s="5">
        <v>38818</v>
      </c>
      <c r="G22" s="5">
        <v>36028</v>
      </c>
      <c r="H22" s="5">
        <v>4669</v>
      </c>
      <c r="I22" s="5">
        <v>3944</v>
      </c>
      <c r="J22" s="5">
        <v>15182</v>
      </c>
      <c r="K22" s="5">
        <v>12233</v>
      </c>
      <c r="L22" s="5">
        <v>2790</v>
      </c>
      <c r="M22" s="6">
        <v>92.8126127054459</v>
      </c>
      <c r="N22" s="6">
        <v>2.63687226056453</v>
      </c>
      <c r="O22" s="6">
        <v>-0.754804472152093</v>
      </c>
      <c r="P22" s="6">
        <v>12.0279251893451</v>
      </c>
      <c r="Q22" s="6">
        <v>10.1602349425524</v>
      </c>
      <c r="R22" s="6">
        <v>39.1107218300788</v>
      </c>
      <c r="S22" s="6">
        <v>31.5137307434695</v>
      </c>
      <c r="T22" s="6">
        <v>7.18738729455407</v>
      </c>
      <c r="U22" s="6">
        <v>15.1579164305219</v>
      </c>
      <c r="V22" s="6">
        <v>147051173.60938</v>
      </c>
      <c r="W22" s="6">
        <v>96562154.58</v>
      </c>
      <c r="X22" s="6">
        <v>76647077.91</v>
      </c>
      <c r="Y22" s="6">
        <v>15421504.49</v>
      </c>
      <c r="Z22" s="6">
        <v>4493572.18</v>
      </c>
      <c r="AA22" s="6">
        <v>16936993.78</v>
      </c>
      <c r="AB22" s="6">
        <v>-1471961.15958667</v>
      </c>
      <c r="AC22" s="6">
        <v>11612597.508756</v>
      </c>
      <c r="AD22" s="6">
        <v>-12851564.6519913</v>
      </c>
      <c r="AE22" s="6">
        <v>379744.957072</v>
      </c>
      <c r="AF22" s="6">
        <v>-133839.80935</v>
      </c>
      <c r="AG22" s="6">
        <v>-478899.164073333</v>
      </c>
      <c r="AH22" s="6">
        <v>98.4985215111271</v>
      </c>
      <c r="AI22" s="6">
        <v>-5.25657957226923</v>
      </c>
      <c r="AJ22" s="6">
        <v>-0.643966554275699</v>
      </c>
      <c r="AK22" s="6">
        <v>15.7307528850109</v>
      </c>
      <c r="AL22" s="6">
        <v>4.58368206424845</v>
      </c>
      <c r="AM22" s="6">
        <v>17.2766323766215</v>
      </c>
      <c r="AN22" s="6">
        <v>-1.50147848887291</v>
      </c>
      <c r="AO22" s="6">
        <v>11.845465653613</v>
      </c>
      <c r="AP22" s="6">
        <v>-13.109277882538</v>
      </c>
      <c r="AQ22" s="6">
        <v>0.387360006470337</v>
      </c>
      <c r="AR22" s="6">
        <v>-0.136523707426021</v>
      </c>
      <c r="AS22" s="6">
        <v>-0.488502558992279</v>
      </c>
      <c r="AT22" s="6">
        <v>12304978.446838</v>
      </c>
      <c r="AU22" s="6">
        <v>11517875.77</v>
      </c>
      <c r="AV22" s="6">
        <v>-6.39661971159539</v>
      </c>
      <c r="AW22" s="6">
        <v>-1.90743222633044</v>
      </c>
      <c r="AX22" s="6">
        <v>-1.3461432775493</v>
      </c>
      <c r="AY22" s="6">
        <v>11.7547924880168</v>
      </c>
      <c r="AZ22" s="6">
        <v>-13.1689138681539</v>
      </c>
      <c r="BA22" s="6">
        <v>0.266334767985078</v>
      </c>
      <c r="BB22" s="6">
        <v>-0.198356665397265</v>
      </c>
      <c r="BC22" s="6">
        <v>-0.561288948781117</v>
      </c>
      <c r="BD22" s="6">
        <v>316.991561822814</v>
      </c>
      <c r="BE22" s="6">
        <v>338.006149180249</v>
      </c>
      <c r="BF22" s="6">
        <v>1012.89358543136</v>
      </c>
      <c r="BG22" s="6">
        <v>1602.03849534964</v>
      </c>
      <c r="BH22" s="6">
        <v>37.632720191872</v>
      </c>
      <c r="BI22" s="6">
        <v>45.6720026710537</v>
      </c>
      <c r="BJ22" s="6">
        <v>45.6246968358423</v>
      </c>
      <c r="BK22" s="6">
        <v>310.945162617858</v>
      </c>
      <c r="BL22" s="6">
        <v>333.40854064894</v>
      </c>
      <c r="BM22" s="6">
        <v>1322.68683497537</v>
      </c>
      <c r="BN22" s="6">
        <v>1191.17845144523</v>
      </c>
      <c r="BO22" s="6">
        <v>39.7913577756554</v>
      </c>
      <c r="BP22" s="6">
        <v>43.6767647960435</v>
      </c>
      <c r="BQ22" s="6">
        <v>20.8696845878136</v>
      </c>
      <c r="BR22" s="6">
        <v>-6.04639920495651</v>
      </c>
      <c r="BS22" s="6">
        <v>-4.59760853130894</v>
      </c>
      <c r="BT22" s="6">
        <v>309.793249544013</v>
      </c>
      <c r="BU22" s="6">
        <v>-410.860043904411</v>
      </c>
      <c r="BV22" s="6">
        <v>2.15863758378342</v>
      </c>
      <c r="BW22" s="6">
        <v>-1.99523787501022</v>
      </c>
      <c r="BX22" s="6">
        <v>-24.7550122480287</v>
      </c>
    </row>
    <row r="23" s="1" customFormat="1" ht="14.3" customHeight="1" spans="1:76">
      <c r="A23" s="5" t="s">
        <v>58</v>
      </c>
      <c r="B23" s="5" t="s">
        <v>97</v>
      </c>
      <c r="C23" s="5" t="s">
        <v>97</v>
      </c>
      <c r="D23" s="5" t="s">
        <v>97</v>
      </c>
      <c r="E23" s="5" t="s">
        <v>138</v>
      </c>
      <c r="F23" s="5">
        <v>48598</v>
      </c>
      <c r="G23" s="5">
        <v>44355</v>
      </c>
      <c r="H23" s="5">
        <v>7300</v>
      </c>
      <c r="I23" s="5">
        <v>4829</v>
      </c>
      <c r="J23" s="5">
        <v>16597</v>
      </c>
      <c r="K23" s="5">
        <v>15629</v>
      </c>
      <c r="L23" s="5">
        <v>4243</v>
      </c>
      <c r="M23" s="6">
        <v>91.2691880324293</v>
      </c>
      <c r="N23" s="6">
        <v>0.735165137432514</v>
      </c>
      <c r="O23" s="6">
        <v>-0.821021441211578</v>
      </c>
      <c r="P23" s="6">
        <v>15.0211942878308</v>
      </c>
      <c r="Q23" s="6">
        <v>9.93662290629244</v>
      </c>
      <c r="R23" s="6">
        <v>34.1516111774147</v>
      </c>
      <c r="S23" s="6">
        <v>32.1597596608914</v>
      </c>
      <c r="T23" s="6">
        <v>8.73081196757068</v>
      </c>
      <c r="U23" s="6">
        <v>11.3337997448455</v>
      </c>
      <c r="V23" s="6">
        <v>113182026.589454</v>
      </c>
      <c r="W23" s="6">
        <v>66449070.63</v>
      </c>
      <c r="X23" s="6">
        <v>56194121</v>
      </c>
      <c r="Y23" s="6">
        <v>7883963.1</v>
      </c>
      <c r="Z23" s="6">
        <v>2370986.53</v>
      </c>
      <c r="AA23" s="6">
        <v>13067749.77</v>
      </c>
      <c r="AB23" s="6">
        <v>-9005613.76296933</v>
      </c>
      <c r="AC23" s="6">
        <v>6477073.05486333</v>
      </c>
      <c r="AD23" s="6">
        <v>-14777302.880902</v>
      </c>
      <c r="AE23" s="6">
        <v>528630.621798</v>
      </c>
      <c r="AF23" s="6">
        <v>-206849.299673333</v>
      </c>
      <c r="AG23" s="6">
        <v>-1027165.25905533</v>
      </c>
      <c r="AH23" s="6">
        <v>88.0648712065802</v>
      </c>
      <c r="AI23" s="6">
        <v>-9.11882538678586</v>
      </c>
      <c r="AJ23" s="6">
        <v>-0.0340810933548491</v>
      </c>
      <c r="AK23" s="6">
        <v>10.4486065556118</v>
      </c>
      <c r="AL23" s="6">
        <v>3.14226551880048</v>
      </c>
      <c r="AM23" s="6">
        <v>17.3186726246749</v>
      </c>
      <c r="AN23" s="6">
        <v>-11.9351287934198</v>
      </c>
      <c r="AO23" s="6">
        <v>8.58405691703728</v>
      </c>
      <c r="AP23" s="6">
        <v>-19.584341250361</v>
      </c>
      <c r="AQ23" s="6">
        <v>0.700593509933568</v>
      </c>
      <c r="AR23" s="6">
        <v>-0.27413712128999</v>
      </c>
      <c r="AS23" s="6">
        <v>-1.36130084873967</v>
      </c>
      <c r="AT23" s="6">
        <v>9508512.795861</v>
      </c>
      <c r="AU23" s="6">
        <v>8283632.52</v>
      </c>
      <c r="AV23" s="6">
        <v>-12.8819332965949</v>
      </c>
      <c r="AW23" s="6">
        <v>-12.6452894677114</v>
      </c>
      <c r="AX23" s="6">
        <v>-11.1624094271085</v>
      </c>
      <c r="AY23" s="6">
        <v>8.43826292103493</v>
      </c>
      <c r="AZ23" s="6">
        <v>-19.6962366604084</v>
      </c>
      <c r="BA23" s="6">
        <v>0.426664644829205</v>
      </c>
      <c r="BB23" s="6">
        <v>-0.331100332564144</v>
      </c>
      <c r="BC23" s="6">
        <v>-1.48288004060295</v>
      </c>
      <c r="BD23" s="6">
        <v>195.656463143771</v>
      </c>
      <c r="BE23" s="6">
        <v>208.920539594251</v>
      </c>
      <c r="BF23" s="6">
        <v>372.968647486986</v>
      </c>
      <c r="BG23" s="6">
        <v>1001.90430071609</v>
      </c>
      <c r="BH23" s="6">
        <v>51.6251460445261</v>
      </c>
      <c r="BI23" s="6">
        <v>54.320877214729</v>
      </c>
      <c r="BJ23" s="6">
        <v>56.9979406452981</v>
      </c>
      <c r="BK23" s="6">
        <v>170.915137016955</v>
      </c>
      <c r="BL23" s="6">
        <v>184.991351707812</v>
      </c>
      <c r="BM23" s="6">
        <v>482.880059760274</v>
      </c>
      <c r="BN23" s="6">
        <v>614.076762269621</v>
      </c>
      <c r="BO23" s="6">
        <v>54.0695313159005</v>
      </c>
      <c r="BP23" s="6">
        <v>52.3064989762621</v>
      </c>
      <c r="BQ23" s="6">
        <v>23.7667743931181</v>
      </c>
      <c r="BR23" s="6">
        <v>-24.741326126816</v>
      </c>
      <c r="BS23" s="6">
        <v>-23.929187886439</v>
      </c>
      <c r="BT23" s="6">
        <v>109.911412273288</v>
      </c>
      <c r="BU23" s="6">
        <v>-387.827538446469</v>
      </c>
      <c r="BV23" s="6">
        <v>2.44438527137434</v>
      </c>
      <c r="BW23" s="6">
        <v>-2.01437823846695</v>
      </c>
      <c r="BX23" s="6">
        <v>-33.2311662521801</v>
      </c>
    </row>
    <row r="24" s="1" customFormat="1" ht="14.3" customHeight="1" spans="1:76">
      <c r="A24" s="5" t="s">
        <v>69</v>
      </c>
      <c r="B24" s="5" t="s">
        <v>97</v>
      </c>
      <c r="C24" s="5" t="s">
        <v>97</v>
      </c>
      <c r="D24" s="5" t="s">
        <v>97</v>
      </c>
      <c r="E24" s="5" t="s">
        <v>138</v>
      </c>
      <c r="F24" s="5">
        <v>87108</v>
      </c>
      <c r="G24" s="5">
        <v>80194</v>
      </c>
      <c r="H24" s="5">
        <v>9657</v>
      </c>
      <c r="I24" s="5">
        <v>8199</v>
      </c>
      <c r="J24" s="5">
        <v>35258</v>
      </c>
      <c r="K24" s="5">
        <v>27080</v>
      </c>
      <c r="L24" s="5">
        <v>6914</v>
      </c>
      <c r="M24" s="6">
        <v>92.0627267300363</v>
      </c>
      <c r="N24" s="6">
        <v>1.59524203993556</v>
      </c>
      <c r="O24" s="6">
        <v>-1.39252422280387</v>
      </c>
      <c r="P24" s="6">
        <v>11.086237773798</v>
      </c>
      <c r="Q24" s="6">
        <v>9.41245350599256</v>
      </c>
      <c r="R24" s="6">
        <v>40.4761904761905</v>
      </c>
      <c r="S24" s="6">
        <v>31.0878449740552</v>
      </c>
      <c r="T24" s="6">
        <v>7.93727326996372</v>
      </c>
      <c r="U24" s="6">
        <v>9.14267346282775</v>
      </c>
      <c r="V24" s="6">
        <v>126528739.072546</v>
      </c>
      <c r="W24" s="6">
        <v>87680564.17</v>
      </c>
      <c r="X24" s="6">
        <v>70094464.59</v>
      </c>
      <c r="Y24" s="6">
        <v>13784014.52</v>
      </c>
      <c r="Z24" s="6">
        <v>3802085.06</v>
      </c>
      <c r="AA24" s="6">
        <v>12958021.21</v>
      </c>
      <c r="AB24" s="6">
        <v>3328071.45496933</v>
      </c>
      <c r="AC24" s="6">
        <v>12215889.7734313</v>
      </c>
      <c r="AD24" s="6">
        <v>-9255224.89474666</v>
      </c>
      <c r="AE24" s="6">
        <v>999284.362491333</v>
      </c>
      <c r="AF24" s="6">
        <v>169994.732402</v>
      </c>
      <c r="AG24" s="6">
        <v>-801872.518608667</v>
      </c>
      <c r="AH24" s="6">
        <v>103.945433439902</v>
      </c>
      <c r="AI24" s="6">
        <v>-7.21753590769194</v>
      </c>
      <c r="AJ24" s="6">
        <v>-1.04385517955039</v>
      </c>
      <c r="AK24" s="6">
        <v>16.340968804048</v>
      </c>
      <c r="AL24" s="6">
        <v>4.50737724235921</v>
      </c>
      <c r="AM24" s="6">
        <v>15.3617525610965</v>
      </c>
      <c r="AN24" s="6">
        <v>3.94543343990154</v>
      </c>
      <c r="AO24" s="6">
        <v>14.481954688287</v>
      </c>
      <c r="AP24" s="6">
        <v>-10.9720822667491</v>
      </c>
      <c r="AQ24" s="6">
        <v>1.18465303197053</v>
      </c>
      <c r="AR24" s="6">
        <v>0.201528996868292</v>
      </c>
      <c r="AS24" s="6">
        <v>-0.950621010475227</v>
      </c>
      <c r="AT24" s="6">
        <v>10777913.231922</v>
      </c>
      <c r="AU24" s="6">
        <v>10189617.39</v>
      </c>
      <c r="AV24" s="6">
        <v>-5.45834642813402</v>
      </c>
      <c r="AW24" s="6">
        <v>1.6900979383327</v>
      </c>
      <c r="AX24" s="6">
        <v>3.02548282523936</v>
      </c>
      <c r="AY24" s="6">
        <v>14.0230415803921</v>
      </c>
      <c r="AZ24" s="6">
        <v>-11.1403156963241</v>
      </c>
      <c r="BA24" s="6">
        <v>0.754700734879591</v>
      </c>
      <c r="BB24" s="6">
        <v>-0.611943793708189</v>
      </c>
      <c r="BC24" s="6">
        <v>-1.33538488690666</v>
      </c>
      <c r="BD24" s="6">
        <v>123.730463699339</v>
      </c>
      <c r="BE24" s="6">
        <v>130.806220742811</v>
      </c>
      <c r="BF24" s="6">
        <v>398.042731670187</v>
      </c>
      <c r="BG24" s="6">
        <v>482.236704569094</v>
      </c>
      <c r="BH24" s="6">
        <v>43.6005371017641</v>
      </c>
      <c r="BI24" s="6">
        <v>42.6458245426145</v>
      </c>
      <c r="BJ24" s="6">
        <v>41.6602785179346</v>
      </c>
      <c r="BK24" s="6">
        <v>125.821629715411</v>
      </c>
      <c r="BL24" s="6">
        <v>134.872409157792</v>
      </c>
      <c r="BM24" s="6">
        <v>554.550058377343</v>
      </c>
      <c r="BN24" s="6">
        <v>335.792801713624</v>
      </c>
      <c r="BO24" s="6">
        <v>45.907559348233</v>
      </c>
      <c r="BP24" s="6">
        <v>40.2102716949778</v>
      </c>
      <c r="BQ24" s="6">
        <v>20.8435842131906</v>
      </c>
      <c r="BR24" s="6">
        <v>2.09116601607201</v>
      </c>
      <c r="BS24" s="6">
        <v>4.06618841498118</v>
      </c>
      <c r="BT24" s="6">
        <v>156.507326707156</v>
      </c>
      <c r="BU24" s="6">
        <v>-146.44390285547</v>
      </c>
      <c r="BV24" s="6">
        <v>2.30702224646889</v>
      </c>
      <c r="BW24" s="6">
        <v>-2.43555284763664</v>
      </c>
      <c r="BX24" s="6">
        <v>-20.816694304744</v>
      </c>
    </row>
    <row r="25" s="1" customFormat="1" ht="14.3" customHeight="1" spans="1:76">
      <c r="A25" s="5" t="s">
        <v>68</v>
      </c>
      <c r="B25" s="5" t="s">
        <v>97</v>
      </c>
      <c r="C25" s="5" t="s">
        <v>97</v>
      </c>
      <c r="D25" s="5" t="s">
        <v>97</v>
      </c>
      <c r="E25" s="5" t="s">
        <v>138</v>
      </c>
      <c r="F25" s="5">
        <v>43962</v>
      </c>
      <c r="G25" s="5">
        <v>41539</v>
      </c>
      <c r="H25" s="5">
        <v>5072</v>
      </c>
      <c r="I25" s="5">
        <v>4951</v>
      </c>
      <c r="J25" s="5">
        <v>18895</v>
      </c>
      <c r="K25" s="5">
        <v>12621</v>
      </c>
      <c r="L25" s="5">
        <v>2423</v>
      </c>
      <c r="M25" s="6">
        <v>94.4884218188435</v>
      </c>
      <c r="N25" s="6">
        <v>1.9030826254384</v>
      </c>
      <c r="O25" s="6">
        <v>-0.541376643464808</v>
      </c>
      <c r="P25" s="6">
        <v>11.5372367044265</v>
      </c>
      <c r="Q25" s="6">
        <v>11.2619989991356</v>
      </c>
      <c r="R25" s="6">
        <v>42.9803011691916</v>
      </c>
      <c r="S25" s="6">
        <v>28.7088849460898</v>
      </c>
      <c r="T25" s="6">
        <v>5.51157818115645</v>
      </c>
      <c r="U25" s="6">
        <v>19.9717938219371</v>
      </c>
      <c r="V25" s="6">
        <v>141816127.078593</v>
      </c>
      <c r="W25" s="6">
        <v>101706077.49</v>
      </c>
      <c r="X25" s="6">
        <v>83188461.71</v>
      </c>
      <c r="Y25" s="6">
        <v>14163614.32</v>
      </c>
      <c r="Z25" s="6">
        <v>4354001.46</v>
      </c>
      <c r="AA25" s="6">
        <v>18505113.26</v>
      </c>
      <c r="AB25" s="6">
        <v>7161992.770938</v>
      </c>
      <c r="AC25" s="6">
        <v>16850712.8427267</v>
      </c>
      <c r="AD25" s="6">
        <v>-9226979.22952466</v>
      </c>
      <c r="AE25" s="6">
        <v>379231.732992</v>
      </c>
      <c r="AF25" s="6">
        <v>-94135.8441406667</v>
      </c>
      <c r="AG25" s="6">
        <v>-746836.731115333</v>
      </c>
      <c r="AH25" s="6">
        <v>107.575294416589</v>
      </c>
      <c r="AI25" s="6">
        <v>9.10214519569845</v>
      </c>
      <c r="AJ25" s="6">
        <v>-1.0509554277801</v>
      </c>
      <c r="AK25" s="6">
        <v>14.9809629677914</v>
      </c>
      <c r="AL25" s="6">
        <v>4.60526057546374</v>
      </c>
      <c r="AM25" s="6">
        <v>19.5729995324276</v>
      </c>
      <c r="AN25" s="6">
        <v>7.57529441658871</v>
      </c>
      <c r="AO25" s="6">
        <v>17.8231275841303</v>
      </c>
      <c r="AP25" s="6">
        <v>-9.75944635451563</v>
      </c>
      <c r="AQ25" s="6">
        <v>0.401116298411358</v>
      </c>
      <c r="AR25" s="6">
        <v>-0.0995682008244002</v>
      </c>
      <c r="AS25" s="6">
        <v>-0.789934910612928</v>
      </c>
      <c r="AT25" s="6">
        <v>11913292.598836</v>
      </c>
      <c r="AU25" s="6">
        <v>11843845.52</v>
      </c>
      <c r="AV25" s="6">
        <v>-0.582937741685152</v>
      </c>
      <c r="AW25" s="6">
        <v>6.71491177419887</v>
      </c>
      <c r="AX25" s="6">
        <v>7.57890926145151</v>
      </c>
      <c r="AY25" s="6">
        <v>17.526963081424</v>
      </c>
      <c r="AZ25" s="6">
        <v>-9.95802191306801</v>
      </c>
      <c r="BA25" s="6">
        <v>0.228907523413506</v>
      </c>
      <c r="BB25" s="6">
        <v>-0.218939430317933</v>
      </c>
      <c r="BC25" s="6">
        <v>-0.863997487252659</v>
      </c>
      <c r="BD25" s="6">
        <v>270.990687385378</v>
      </c>
      <c r="BE25" s="6">
        <v>282.547531509738</v>
      </c>
      <c r="BF25" s="6">
        <v>975.713586735016</v>
      </c>
      <c r="BG25" s="6">
        <v>1048.46887195718</v>
      </c>
      <c r="BH25" s="6">
        <v>39.9392022733527</v>
      </c>
      <c r="BI25" s="6">
        <v>66.7381338600745</v>
      </c>
      <c r="BJ25" s="6">
        <v>72.8645016314486</v>
      </c>
      <c r="BK25" s="6">
        <v>289.187472959601</v>
      </c>
      <c r="BL25" s="6">
        <v>304.283674318111</v>
      </c>
      <c r="BM25" s="6">
        <v>1387.3930811317</v>
      </c>
      <c r="BN25" s="6">
        <v>808.854998485155</v>
      </c>
      <c r="BO25" s="6">
        <v>41.3824636147129</v>
      </c>
      <c r="BP25" s="6">
        <v>64.6715072102052</v>
      </c>
      <c r="BQ25" s="6">
        <v>30.3838789723483</v>
      </c>
      <c r="BR25" s="6">
        <v>18.1967855742232</v>
      </c>
      <c r="BS25" s="6">
        <v>21.7361428083728</v>
      </c>
      <c r="BT25" s="6">
        <v>411.679494396687</v>
      </c>
      <c r="BU25" s="6">
        <v>-239.613873472025</v>
      </c>
      <c r="BV25" s="6">
        <v>1.44326134136016</v>
      </c>
      <c r="BW25" s="6">
        <v>-2.06662664986926</v>
      </c>
      <c r="BX25" s="6">
        <v>-42.4806226591003</v>
      </c>
    </row>
    <row r="26" s="1" customFormat="1" ht="14.3" customHeight="1" spans="1:76">
      <c r="A26" s="5" t="s">
        <v>62</v>
      </c>
      <c r="B26" s="5" t="s">
        <v>97</v>
      </c>
      <c r="C26" s="5" t="s">
        <v>97</v>
      </c>
      <c r="D26" s="5" t="s">
        <v>97</v>
      </c>
      <c r="E26" s="5" t="s">
        <v>138</v>
      </c>
      <c r="F26" s="5">
        <v>40233</v>
      </c>
      <c r="G26" s="5">
        <v>36546</v>
      </c>
      <c r="H26" s="5">
        <v>5777</v>
      </c>
      <c r="I26" s="5">
        <v>4255</v>
      </c>
      <c r="J26" s="5">
        <v>14384</v>
      </c>
      <c r="K26" s="5">
        <v>12130</v>
      </c>
      <c r="L26" s="5">
        <v>3687</v>
      </c>
      <c r="M26" s="6">
        <v>90.8358809932145</v>
      </c>
      <c r="N26" s="6">
        <v>-1.4662619020989</v>
      </c>
      <c r="O26" s="6">
        <v>-0.738199985086874</v>
      </c>
      <c r="P26" s="6">
        <v>14.358859642582</v>
      </c>
      <c r="Q26" s="6">
        <v>10.5758954092412</v>
      </c>
      <c r="R26" s="6">
        <v>35.7517460790893</v>
      </c>
      <c r="S26" s="6">
        <v>30.1493798623021</v>
      </c>
      <c r="T26" s="6">
        <v>9.16411900678547</v>
      </c>
      <c r="U26" s="6">
        <v>14.664578828325</v>
      </c>
      <c r="V26" s="6">
        <v>117649163.253162</v>
      </c>
      <c r="W26" s="6">
        <v>82263370.76</v>
      </c>
      <c r="X26" s="6">
        <v>68877937.58</v>
      </c>
      <c r="Y26" s="6">
        <v>10170941.61</v>
      </c>
      <c r="Z26" s="6">
        <v>3214491.57</v>
      </c>
      <c r="AA26" s="6">
        <v>17373676.43</v>
      </c>
      <c r="AB26" s="6">
        <v>3830595.257892</v>
      </c>
      <c r="AC26" s="6">
        <v>9241418.06300066</v>
      </c>
      <c r="AD26" s="6">
        <v>-4873006.169172</v>
      </c>
      <c r="AE26" s="6">
        <v>615930.165905333</v>
      </c>
      <c r="AF26" s="6">
        <v>-55494.568074</v>
      </c>
      <c r="AG26" s="6">
        <v>-1098252.233768</v>
      </c>
      <c r="AH26" s="6">
        <v>104.883921591923</v>
      </c>
      <c r="AI26" s="6">
        <v>4.36720547239047</v>
      </c>
      <c r="AJ26" s="6">
        <v>-1.0225859359102</v>
      </c>
      <c r="AK26" s="6">
        <v>12.9677185907142</v>
      </c>
      <c r="AL26" s="6">
        <v>4.098403440936</v>
      </c>
      <c r="AM26" s="6">
        <v>22.151041218136</v>
      </c>
      <c r="AN26" s="6">
        <v>4.88392159192307</v>
      </c>
      <c r="AO26" s="6">
        <v>11.7825972673277</v>
      </c>
      <c r="AP26" s="6">
        <v>-6.21297173021887</v>
      </c>
      <c r="AQ26" s="6">
        <v>0.785296914411475</v>
      </c>
      <c r="AR26" s="6">
        <v>-0.0707543086659078</v>
      </c>
      <c r="AS26" s="6">
        <v>-1.40024655093135</v>
      </c>
      <c r="AT26" s="6">
        <v>9950794.886502</v>
      </c>
      <c r="AU26" s="6">
        <v>9581134.13</v>
      </c>
      <c r="AV26" s="6">
        <v>-3.71488670722615</v>
      </c>
      <c r="AW26" s="6">
        <v>3.33768771526501</v>
      </c>
      <c r="AX26" s="6">
        <v>4.99927881005564</v>
      </c>
      <c r="AY26" s="6">
        <v>11.4664959374728</v>
      </c>
      <c r="AZ26" s="6">
        <v>-6.55774466837985</v>
      </c>
      <c r="BA26" s="6">
        <v>0.338055880828481</v>
      </c>
      <c r="BB26" s="6">
        <v>-0.247528339865708</v>
      </c>
      <c r="BC26" s="6">
        <v>-1.66159109479064</v>
      </c>
      <c r="BD26" s="6">
        <v>247.329179690851</v>
      </c>
      <c r="BE26" s="6">
        <v>264.044280045887</v>
      </c>
      <c r="BF26" s="6">
        <v>769.200427746754</v>
      </c>
      <c r="BG26" s="6">
        <v>836.211679172973</v>
      </c>
      <c r="BH26" s="6">
        <v>56.348809889252</v>
      </c>
      <c r="BI26" s="6">
        <v>69.0428203739489</v>
      </c>
      <c r="BJ26" s="6">
        <v>81.6470376851099</v>
      </c>
      <c r="BK26" s="6">
        <v>255.584255337658</v>
      </c>
      <c r="BL26" s="6">
        <v>277.656384795874</v>
      </c>
      <c r="BM26" s="6">
        <v>966.709081270556</v>
      </c>
      <c r="BN26" s="6">
        <v>682.851462690952</v>
      </c>
      <c r="BO26" s="6">
        <v>58.6874672379032</v>
      </c>
      <c r="BP26" s="6">
        <v>67.0122319661995</v>
      </c>
      <c r="BQ26" s="6">
        <v>36.8025783157038</v>
      </c>
      <c r="BR26" s="6">
        <v>8.25507564680728</v>
      </c>
      <c r="BS26" s="6">
        <v>13.6121047499862</v>
      </c>
      <c r="BT26" s="6">
        <v>197.508653523801</v>
      </c>
      <c r="BU26" s="6">
        <v>-153.360216482021</v>
      </c>
      <c r="BV26" s="6">
        <v>2.33865734865127</v>
      </c>
      <c r="BW26" s="6">
        <v>-2.03058840774939</v>
      </c>
      <c r="BX26" s="6">
        <v>-44.844459369406</v>
      </c>
    </row>
    <row r="27" s="1" customFormat="1" ht="14.3" customHeight="1" spans="1:76">
      <c r="A27" s="5" t="s">
        <v>63</v>
      </c>
      <c r="B27" s="5" t="s">
        <v>97</v>
      </c>
      <c r="C27" s="5" t="s">
        <v>97</v>
      </c>
      <c r="D27" s="5" t="s">
        <v>97</v>
      </c>
      <c r="E27" s="5" t="s">
        <v>138</v>
      </c>
      <c r="F27" s="5">
        <v>42329</v>
      </c>
      <c r="G27" s="5">
        <v>38247</v>
      </c>
      <c r="H27" s="5">
        <v>5114</v>
      </c>
      <c r="I27" s="5">
        <v>4569</v>
      </c>
      <c r="J27" s="5">
        <v>15936</v>
      </c>
      <c r="K27" s="5">
        <v>12628</v>
      </c>
      <c r="L27" s="5">
        <v>4082</v>
      </c>
      <c r="M27" s="6">
        <v>90.3564931843417</v>
      </c>
      <c r="N27" s="6">
        <v>-0.388881737456492</v>
      </c>
      <c r="O27" s="6">
        <v>-1.69387417609677</v>
      </c>
      <c r="P27" s="6">
        <v>12.0815516548938</v>
      </c>
      <c r="Q27" s="6">
        <v>10.7940182853363</v>
      </c>
      <c r="R27" s="6">
        <v>37.6479482151716</v>
      </c>
      <c r="S27" s="6">
        <v>29.83297502894</v>
      </c>
      <c r="T27" s="6">
        <v>9.6435068156583</v>
      </c>
      <c r="U27" s="6">
        <v>14.4888846889839</v>
      </c>
      <c r="V27" s="6">
        <v>87545668.743686</v>
      </c>
      <c r="W27" s="6">
        <v>59254618.94</v>
      </c>
      <c r="X27" s="6">
        <v>49349595.61</v>
      </c>
      <c r="Y27" s="6">
        <v>6263940.48</v>
      </c>
      <c r="Z27" s="6">
        <v>3641082.85</v>
      </c>
      <c r="AA27" s="6">
        <v>13761926.93</v>
      </c>
      <c r="AB27" s="6">
        <v>890839.777542667</v>
      </c>
      <c r="AC27" s="6">
        <v>6563008.02863467</v>
      </c>
      <c r="AD27" s="6">
        <v>-5838215.499784</v>
      </c>
      <c r="AE27" s="6">
        <v>412175.094092</v>
      </c>
      <c r="AF27" s="6">
        <v>-134307.865053333</v>
      </c>
      <c r="AG27" s="6">
        <v>-111819.980346667</v>
      </c>
      <c r="AH27" s="6">
        <v>101.526357255007</v>
      </c>
      <c r="AI27" s="6">
        <v>1.90613053995311</v>
      </c>
      <c r="AJ27" s="6">
        <v>0.437699380790457</v>
      </c>
      <c r="AK27" s="6">
        <v>10.7325820395628</v>
      </c>
      <c r="AL27" s="6">
        <v>6.23860021104003</v>
      </c>
      <c r="AM27" s="6">
        <v>23.5795678886613</v>
      </c>
      <c r="AN27" s="6">
        <v>1.5263572550074</v>
      </c>
      <c r="AO27" s="6">
        <v>11.245001819307</v>
      </c>
      <c r="AP27" s="6">
        <v>-10.0031484999166</v>
      </c>
      <c r="AQ27" s="6">
        <v>0.706217280660833</v>
      </c>
      <c r="AR27" s="6">
        <v>-0.230121947174605</v>
      </c>
      <c r="AS27" s="6">
        <v>-0.191591397869237</v>
      </c>
      <c r="AT27" s="6">
        <v>7376502.713508</v>
      </c>
      <c r="AU27" s="6">
        <v>7630353.03</v>
      </c>
      <c r="AV27" s="6">
        <v>3.44133699059237</v>
      </c>
      <c r="AW27" s="6">
        <v>0.411097984638009</v>
      </c>
      <c r="AX27" s="6">
        <v>0.790874417441329</v>
      </c>
      <c r="AY27" s="6">
        <v>11.0192284746337</v>
      </c>
      <c r="AZ27" s="6">
        <v>-10.3173182526231</v>
      </c>
      <c r="BA27" s="6">
        <v>0.475615669967202</v>
      </c>
      <c r="BB27" s="6">
        <v>-0.386651474536452</v>
      </c>
      <c r="BC27" s="6">
        <v>-0.379776432803309</v>
      </c>
      <c r="BD27" s="6">
        <v>174.265933839873</v>
      </c>
      <c r="BE27" s="6">
        <v>186.237197352394</v>
      </c>
      <c r="BF27" s="6">
        <v>526.027235541846</v>
      </c>
      <c r="BG27" s="6">
        <v>657.728983829284</v>
      </c>
      <c r="BH27" s="6">
        <v>44.8979673976531</v>
      </c>
      <c r="BI27" s="6">
        <v>56.4026820566202</v>
      </c>
      <c r="BJ27" s="6">
        <v>62.0991245396864</v>
      </c>
      <c r="BK27" s="6">
        <v>174.9823375818</v>
      </c>
      <c r="BL27" s="6">
        <v>187.762516275786</v>
      </c>
      <c r="BM27" s="6">
        <v>684.970076261244</v>
      </c>
      <c r="BN27" s="6">
        <v>491.159217826658</v>
      </c>
      <c r="BO27" s="6">
        <v>47.0995112481175</v>
      </c>
      <c r="BP27" s="6">
        <v>54.1441014016471</v>
      </c>
      <c r="BQ27" s="6">
        <v>55.2362585742283</v>
      </c>
      <c r="BR27" s="6">
        <v>0.716403741926342</v>
      </c>
      <c r="BS27" s="6">
        <v>1.52531892339269</v>
      </c>
      <c r="BT27" s="6">
        <v>158.942840719398</v>
      </c>
      <c r="BU27" s="6">
        <v>-166.569766002626</v>
      </c>
      <c r="BV27" s="6">
        <v>2.20154385046435</v>
      </c>
      <c r="BW27" s="6">
        <v>-2.25858065497308</v>
      </c>
      <c r="BX27" s="6">
        <v>-6.86286596545811</v>
      </c>
    </row>
    <row r="28" ht="14.3" customHeight="1"/>
    <row r="29" ht="14.3" customHeight="1"/>
    <row r="30" ht="14.3" customHeight="1"/>
    <row r="31" ht="14.3" customHeight="1"/>
    <row r="32" ht="14.3" customHeight="1"/>
  </sheetData>
  <mergeCells count="73">
    <mergeCell ref="A1:F1"/>
    <mergeCell ref="F2:U2"/>
    <mergeCell ref="V2:AS2"/>
    <mergeCell ref="AT2:BX2"/>
    <mergeCell ref="G3:K3"/>
    <mergeCell ref="M3:O3"/>
    <mergeCell ref="P3:T3"/>
    <mergeCell ref="W3:AA3"/>
    <mergeCell ref="AB3:AG3"/>
    <mergeCell ref="AH3:AM3"/>
    <mergeCell ref="AN3:AS3"/>
    <mergeCell ref="AV3:AW3"/>
    <mergeCell ref="AX3:BC3"/>
    <mergeCell ref="BD3:BJ3"/>
    <mergeCell ref="BK3:BQ3"/>
    <mergeCell ref="BR3:BX3"/>
    <mergeCell ref="X4:Z4"/>
    <mergeCell ref="AK4:AL4"/>
    <mergeCell ref="AX4:BB4"/>
    <mergeCell ref="BE4:BI4"/>
    <mergeCell ref="BL4:BP4"/>
    <mergeCell ref="BS4:BW4"/>
    <mergeCell ref="A2:A5"/>
    <mergeCell ref="B2:B5"/>
    <mergeCell ref="C2:C5"/>
    <mergeCell ref="D2:D5"/>
    <mergeCell ref="E2:E5"/>
    <mergeCell ref="F3:F5"/>
    <mergeCell ref="G4:G5"/>
    <mergeCell ref="H4:H5"/>
    <mergeCell ref="I4:I5"/>
    <mergeCell ref="J4:J5"/>
    <mergeCell ref="K4:K5"/>
    <mergeCell ref="L3:L5"/>
    <mergeCell ref="M4:M5"/>
    <mergeCell ref="N4:N5"/>
    <mergeCell ref="O4:O5"/>
    <mergeCell ref="P4:P5"/>
    <mergeCell ref="Q4:Q5"/>
    <mergeCell ref="R4:R5"/>
    <mergeCell ref="S4:S5"/>
    <mergeCell ref="T4:T5"/>
    <mergeCell ref="U3:U5"/>
    <mergeCell ref="V3:V5"/>
    <mergeCell ref="W4:W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M4:AM5"/>
    <mergeCell ref="AN4:AN5"/>
    <mergeCell ref="AO4:AO5"/>
    <mergeCell ref="AP4:AP5"/>
    <mergeCell ref="AQ4:AQ5"/>
    <mergeCell ref="AR4:AR5"/>
    <mergeCell ref="AS4:AS5"/>
    <mergeCell ref="AT3:AT5"/>
    <mergeCell ref="AU3:AU5"/>
    <mergeCell ref="AV4:AV5"/>
    <mergeCell ref="AW4:AW5"/>
    <mergeCell ref="BC4:BC5"/>
    <mergeCell ref="BD4:BD5"/>
    <mergeCell ref="BJ4:BJ5"/>
    <mergeCell ref="BK4:BK5"/>
    <mergeCell ref="BQ4:BQ5"/>
    <mergeCell ref="BR4:BR5"/>
    <mergeCell ref="BX4:BX5"/>
  </mergeCells>
  <pageMargins left="0.75" right="0.75" top="0.270000010728836" bottom="0.270000010728836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F30"/>
  <sheetViews>
    <sheetView zoomScale="85" zoomScaleNormal="85" workbookViewId="0">
      <pane ySplit="8" topLeftCell="A9" activePane="bottomLeft" state="frozen"/>
      <selection/>
      <selection pane="bottomLeft" activeCell="A9" sqref="$A9:$XFD30"/>
    </sheetView>
  </sheetViews>
  <sheetFormatPr defaultColWidth="11.5333333333333" defaultRowHeight="14"/>
  <cols>
    <col min="1" max="1" width="7.77777777777778" style="2" customWidth="1"/>
    <col min="2" max="3" width="10.1111111111111" style="2" customWidth="1"/>
    <col min="4" max="4" width="5.44444444444444" style="2" customWidth="1"/>
    <col min="5" max="5" width="10.1111111111111" style="2" customWidth="1"/>
    <col min="6" max="7" width="15.2222222222222" style="2" customWidth="1"/>
    <col min="8" max="9" width="13.7777777777778" style="2" customWidth="1"/>
    <col min="10" max="11" width="15.2222222222222" style="2" customWidth="1"/>
    <col min="12" max="12" width="13.7777777777778" style="2" customWidth="1"/>
    <col min="13" max="14" width="15.2222222222222" style="2" customWidth="1"/>
    <col min="15" max="15" width="12.4444444444444" style="2" customWidth="1"/>
    <col min="16" max="16" width="13.7777777777778" style="2" customWidth="1"/>
    <col min="17" max="17" width="10.1111111111111" style="2" customWidth="1"/>
    <col min="18" max="20" width="15.2222222222222" style="2" customWidth="1"/>
    <col min="21" max="22" width="13.7777777777778" style="2" customWidth="1"/>
    <col min="23" max="25" width="12.4444444444444" style="2" customWidth="1"/>
    <col min="26" max="28" width="15.2222222222222" style="2" customWidth="1"/>
    <col min="29" max="29" width="11" style="2" customWidth="1"/>
    <col min="30" max="30" width="13.7777777777778" style="2" customWidth="1"/>
    <col min="31" max="32" width="12.4444444444444" style="2" customWidth="1"/>
    <col min="33" max="33" width="11" style="2" customWidth="1"/>
    <col min="34" max="36" width="15.2222222222222" style="2" customWidth="1"/>
    <col min="37" max="37" width="13.7777777777778" style="2" customWidth="1"/>
    <col min="38" max="39" width="12.4444444444444" style="2" customWidth="1"/>
    <col min="40" max="40" width="11" style="2" customWidth="1"/>
    <col min="41" max="43" width="15.2222222222222" style="2" customWidth="1"/>
    <col min="44" max="44" width="11" style="2" customWidth="1"/>
    <col min="45" max="46" width="12.4444444444444" style="2" customWidth="1"/>
    <col min="47" max="47" width="11" style="2" customWidth="1"/>
    <col min="48" max="49" width="15.2222222222222" style="2" customWidth="1"/>
    <col min="50" max="50" width="11" style="2" customWidth="1"/>
    <col min="51" max="51" width="12.4444444444444" style="2" customWidth="1"/>
    <col min="52" max="52" width="10.1111111111111" style="2" customWidth="1"/>
    <col min="53" max="53" width="13.7777777777778" style="2" customWidth="1"/>
    <col min="54" max="54" width="14.7777777777778" style="2" customWidth="1"/>
    <col min="55" max="55" width="11" style="2" customWidth="1"/>
    <col min="56" max="56" width="12.4444444444444" style="2" customWidth="1"/>
    <col min="57" max="57" width="10.1111111111111" style="2" customWidth="1"/>
    <col min="58" max="59" width="15.2222222222222" style="2" customWidth="1"/>
    <col min="60" max="62" width="11" style="2" customWidth="1"/>
    <col min="63" max="64" width="12.4444444444444" style="2" customWidth="1"/>
    <col min="65" max="66" width="11" style="2" customWidth="1"/>
    <col min="67" max="67" width="10.1111111111111" style="2" customWidth="1"/>
    <col min="68" max="68" width="13.7777777777778" style="2" customWidth="1"/>
    <col min="69" max="69" width="14.7777777777778" style="2" customWidth="1"/>
    <col min="70" max="71" width="12.4444444444444" style="2" customWidth="1"/>
    <col min="72" max="72" width="10.1111111111111" style="2" customWidth="1"/>
    <col min="73" max="73" width="8.44444444444444" style="2" customWidth="1"/>
    <col min="74" max="74" width="10.1111111111111" style="2" customWidth="1"/>
    <col min="75" max="75" width="12.4444444444444" style="2" customWidth="1"/>
    <col min="76" max="77" width="10.1111111111111" style="2" customWidth="1"/>
    <col min="78" max="78" width="9.66666666666667" style="2" customWidth="1"/>
    <col min="79" max="85" width="10.1111111111111" style="2" customWidth="1"/>
    <col min="86" max="86" width="9" style="2" customWidth="1"/>
    <col min="87" max="93" width="10.1111111111111" style="2" customWidth="1"/>
    <col min="94" max="94" width="9.66666666666667" style="2" customWidth="1"/>
    <col min="95" max="100" width="10.1111111111111" style="2" customWidth="1"/>
    <col min="101" max="101" width="9" style="2" customWidth="1"/>
    <col min="102" max="107" width="10.1111111111111" style="2" customWidth="1"/>
    <col min="108" max="108" width="9.66666666666667" style="2" customWidth="1"/>
    <col min="109" max="112" width="10.1111111111111" style="2" customWidth="1"/>
    <col min="113" max="113" width="9" style="2" customWidth="1"/>
    <col min="114" max="117" width="10.1111111111111" style="2" customWidth="1"/>
    <col min="118" max="118" width="9" style="2" customWidth="1"/>
    <col min="119" max="122" width="10.1111111111111" style="2" customWidth="1"/>
    <col min="123" max="123" width="9.66666666666667" style="2" customWidth="1"/>
    <col min="124" max="127" width="10.1111111111111" style="2" customWidth="1"/>
    <col min="128" max="128" width="9.66666666666667" style="2" customWidth="1"/>
    <col min="129" max="132" width="10.1111111111111" style="2" customWidth="1"/>
    <col min="133" max="133" width="9.33333333333333" style="2" customWidth="1"/>
    <col min="134" max="137" width="10.1111111111111" style="2" customWidth="1"/>
    <col min="138" max="139" width="19.4444444444444" style="2" customWidth="1"/>
    <col min="140" max="142" width="18" style="2" customWidth="1"/>
    <col min="143" max="144" width="19.4444444444444" style="2" customWidth="1"/>
    <col min="145" max="147" width="16.6666666666667" style="2" customWidth="1"/>
    <col min="148" max="156" width="19.4444444444444" style="2" customWidth="1"/>
    <col min="157" max="157" width="20.4444444444444" style="2" customWidth="1"/>
    <col min="158" max="160" width="18" style="2" customWidth="1"/>
    <col min="161" max="163" width="16.6666666666667" style="2" customWidth="1"/>
    <col min="164" max="164" width="15.2222222222222" style="2" customWidth="1"/>
    <col min="165" max="165" width="16.6666666666667" style="2" customWidth="1"/>
    <col min="166" max="168" width="18" style="2" customWidth="1"/>
    <col min="169" max="172" width="15.2222222222222" style="2" customWidth="1"/>
    <col min="173" max="174" width="16.6666666666667" style="2" customWidth="1"/>
    <col min="175" max="176" width="13.7777777777778" style="2" customWidth="1"/>
    <col min="177" max="177" width="12.4444444444444" style="2" customWidth="1"/>
    <col min="178" max="179" width="18" style="2" customWidth="1"/>
    <col min="180" max="180" width="13.7777777777778" style="2" customWidth="1"/>
    <col min="181" max="181" width="15.2222222222222" style="2" customWidth="1"/>
    <col min="182" max="182" width="16.6666666666667" style="2" customWidth="1"/>
    <col min="183" max="184" width="18" style="2" customWidth="1"/>
    <col min="185" max="185" width="16.6666666666667" style="2" customWidth="1"/>
    <col min="186" max="186" width="15.2222222222222" style="2" customWidth="1"/>
    <col min="187" max="187" width="16.6666666666667" style="2" customWidth="1"/>
    <col min="188" max="189" width="18" style="2" customWidth="1"/>
    <col min="190" max="190" width="16.6666666666667" style="2" customWidth="1"/>
    <col min="191" max="191" width="15.2222222222222" style="2" customWidth="1"/>
    <col min="192" max="192" width="16.6666666666667" style="2" customWidth="1"/>
    <col min="193" max="193" width="18" style="2" customWidth="1"/>
    <col min="194" max="194" width="10.1111111111111" style="2" customWidth="1"/>
    <col min="195" max="195" width="18" style="2" customWidth="1"/>
    <col min="196" max="196" width="15.2222222222222" style="2" customWidth="1"/>
    <col min="197" max="197" width="18" style="2" customWidth="1"/>
    <col min="198" max="198" width="19.4444444444444" style="2" customWidth="1"/>
    <col min="199" max="200" width="18" style="2" customWidth="1"/>
    <col min="201" max="201" width="19.4444444444444" style="2" customWidth="1"/>
    <col min="202" max="203" width="18" style="2" customWidth="1"/>
    <col min="204" max="263" width="10.1111111111111" style="2" customWidth="1"/>
    <col min="264" max="264" width="10.6666666666667" style="2" customWidth="1"/>
    <col min="265" max="265" width="10.1111111111111" style="2" customWidth="1"/>
    <col min="266" max="268" width="10.6666666666667" style="2" customWidth="1"/>
    <col min="269" max="272" width="18" style="2" customWidth="1"/>
    <col min="273" max="273" width="12.4444444444444" style="2" customWidth="1"/>
    <col min="274" max="278" width="18" style="2" customWidth="1"/>
    <col min="279" max="279" width="16.6666666666667" style="2" customWidth="1"/>
    <col min="280" max="280" width="18" style="2" customWidth="1"/>
    <col min="281" max="281" width="8.44444444444444" style="2" customWidth="1"/>
    <col min="282" max="282" width="8.11111111111111" style="2" customWidth="1"/>
    <col min="283" max="283" width="9.33333333333333" style="2" customWidth="1"/>
    <col min="284" max="286" width="8.11111111111111" style="2" customWidth="1"/>
    <col min="287" max="288" width="9.33333333333333" style="2" customWidth="1"/>
    <col min="289" max="289" width="7.22222222222222" style="2" customWidth="1"/>
    <col min="290" max="290" width="8.44444444444444" style="2" customWidth="1"/>
    <col min="291" max="292" width="9.33333333333333" style="2" customWidth="1"/>
    <col min="293" max="388" width="11.2666666666667" style="2" customWidth="1"/>
    <col min="389" max="16384" width="11.5333333333333" style="2"/>
  </cols>
  <sheetData>
    <row r="1" ht="33.9" customHeight="1" spans="1:292">
      <c r="A1" s="3" t="s">
        <v>139</v>
      </c>
      <c r="B1" s="3"/>
      <c r="C1" s="3"/>
      <c r="D1" s="3"/>
      <c r="E1" s="3"/>
      <c r="F1" s="3"/>
      <c r="IK1" s="2">
        <f>COLUMN(IK9)</f>
        <v>245</v>
      </c>
    </row>
    <row r="2" ht="14.45" customHeight="1" spans="1:292">
      <c r="A2" s="4" t="s">
        <v>71</v>
      </c>
      <c r="B2" s="4" t="s">
        <v>140</v>
      </c>
      <c r="C2" s="4" t="s">
        <v>73</v>
      </c>
      <c r="D2" s="4" t="s">
        <v>74</v>
      </c>
      <c r="E2" s="4" t="s">
        <v>75</v>
      </c>
      <c r="F2" s="4" t="s">
        <v>141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 t="s">
        <v>142</v>
      </c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 t="s">
        <v>143</v>
      </c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</row>
    <row r="3" ht="17.35" customHeight="1" spans="1:292">
      <c r="A3" s="4"/>
      <c r="B3" s="4"/>
      <c r="C3" s="4"/>
      <c r="D3" s="4"/>
      <c r="E3" s="4"/>
      <c r="F3" s="4" t="s">
        <v>144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145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 t="s">
        <v>146</v>
      </c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 t="s">
        <v>85</v>
      </c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 t="s">
        <v>86</v>
      </c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 t="s">
        <v>147</v>
      </c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 t="s">
        <v>148</v>
      </c>
      <c r="JJ3" s="4"/>
      <c r="JK3" s="4"/>
      <c r="JL3" s="4"/>
      <c r="JM3" s="4"/>
      <c r="JN3" s="4"/>
      <c r="JO3" s="4" t="s">
        <v>91</v>
      </c>
      <c r="JP3" s="4"/>
      <c r="JQ3" s="4"/>
      <c r="JR3" s="4"/>
      <c r="JS3" s="4"/>
      <c r="JT3" s="4"/>
      <c r="JU3" s="4" t="s">
        <v>149</v>
      </c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</row>
    <row r="4" ht="14.3" customHeight="1" spans="1:292">
      <c r="A4" s="4"/>
      <c r="B4" s="4"/>
      <c r="C4" s="4"/>
      <c r="D4" s="4"/>
      <c r="E4" s="4"/>
      <c r="F4" s="4" t="s">
        <v>150</v>
      </c>
      <c r="G4" s="4"/>
      <c r="H4" s="4"/>
      <c r="I4" s="4"/>
      <c r="J4" s="4" t="s">
        <v>151</v>
      </c>
      <c r="K4" s="4"/>
      <c r="L4" s="4"/>
      <c r="M4" s="4" t="s">
        <v>152</v>
      </c>
      <c r="N4" s="4" t="s">
        <v>153</v>
      </c>
      <c r="O4" s="4" t="s">
        <v>154</v>
      </c>
      <c r="P4" s="4" t="s">
        <v>155</v>
      </c>
      <c r="Q4" s="4" t="s">
        <v>156</v>
      </c>
      <c r="R4" s="4" t="s">
        <v>150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 t="s">
        <v>151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 t="s">
        <v>152</v>
      </c>
      <c r="AW4" s="4"/>
      <c r="AX4" s="4"/>
      <c r="AY4" s="4"/>
      <c r="AZ4" s="4"/>
      <c r="BA4" s="4"/>
      <c r="BB4" s="4"/>
      <c r="BC4" s="4"/>
      <c r="BD4" s="4"/>
      <c r="BE4" s="4"/>
      <c r="BF4" s="4" t="s">
        <v>153</v>
      </c>
      <c r="BG4" s="4"/>
      <c r="BH4" s="4"/>
      <c r="BI4" s="4"/>
      <c r="BJ4" s="4"/>
      <c r="BK4" s="4" t="s">
        <v>154</v>
      </c>
      <c r="BL4" s="4"/>
      <c r="BM4" s="4"/>
      <c r="BN4" s="4"/>
      <c r="BO4" s="4"/>
      <c r="BP4" s="4" t="s">
        <v>155</v>
      </c>
      <c r="BQ4" s="4"/>
      <c r="BR4" s="4"/>
      <c r="BS4" s="4"/>
      <c r="BT4" s="4"/>
      <c r="BU4" s="4" t="s">
        <v>156</v>
      </c>
      <c r="BV4" s="4"/>
      <c r="BW4" s="4"/>
      <c r="BX4" s="4"/>
      <c r="BY4" s="4"/>
      <c r="BZ4" s="4" t="s">
        <v>150</v>
      </c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 t="s">
        <v>151</v>
      </c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 t="s">
        <v>152</v>
      </c>
      <c r="DE4" s="4"/>
      <c r="DF4" s="4"/>
      <c r="DG4" s="4"/>
      <c r="DH4" s="4"/>
      <c r="DI4" s="4"/>
      <c r="DJ4" s="4"/>
      <c r="DK4" s="4"/>
      <c r="DL4" s="4"/>
      <c r="DM4" s="4"/>
      <c r="DN4" s="4" t="s">
        <v>153</v>
      </c>
      <c r="DO4" s="4"/>
      <c r="DP4" s="4"/>
      <c r="DQ4" s="4"/>
      <c r="DR4" s="4"/>
      <c r="DS4" s="4" t="s">
        <v>154</v>
      </c>
      <c r="DT4" s="4"/>
      <c r="DU4" s="4"/>
      <c r="DV4" s="4"/>
      <c r="DW4" s="4"/>
      <c r="DX4" s="4" t="s">
        <v>155</v>
      </c>
      <c r="DY4" s="4"/>
      <c r="DZ4" s="4"/>
      <c r="EA4" s="4"/>
      <c r="EB4" s="4"/>
      <c r="EC4" s="4" t="s">
        <v>156</v>
      </c>
      <c r="ED4" s="4"/>
      <c r="EE4" s="4"/>
      <c r="EF4" s="4"/>
      <c r="EG4" s="4"/>
      <c r="EH4" s="4" t="s">
        <v>157</v>
      </c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 t="s">
        <v>158</v>
      </c>
      <c r="EW4" s="4"/>
      <c r="EX4" s="4"/>
      <c r="EY4" s="4" t="s">
        <v>159</v>
      </c>
      <c r="EZ4" s="4"/>
      <c r="FA4" s="4"/>
      <c r="FB4" s="4" t="s">
        <v>157</v>
      </c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 t="s">
        <v>158</v>
      </c>
      <c r="GQ4" s="4"/>
      <c r="GR4" s="4"/>
      <c r="GS4" s="4" t="s">
        <v>159</v>
      </c>
      <c r="GT4" s="4"/>
      <c r="GU4" s="4"/>
      <c r="GV4" s="4" t="s">
        <v>157</v>
      </c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 t="s">
        <v>158</v>
      </c>
      <c r="IR4" s="4"/>
      <c r="IS4" s="4"/>
      <c r="IT4" s="4"/>
      <c r="IU4" s="4"/>
      <c r="IV4" s="4"/>
      <c r="IW4" s="4"/>
      <c r="IX4" s="4"/>
      <c r="IY4" s="4"/>
      <c r="IZ4" s="4" t="s">
        <v>159</v>
      </c>
      <c r="JA4" s="4"/>
      <c r="JB4" s="4"/>
      <c r="JC4" s="4"/>
      <c r="JD4" s="4"/>
      <c r="JE4" s="4"/>
      <c r="JF4" s="4"/>
      <c r="JG4" s="4"/>
      <c r="JH4" s="4"/>
      <c r="JI4" s="4" t="s">
        <v>158</v>
      </c>
      <c r="JJ4" s="4"/>
      <c r="JK4" s="4"/>
      <c r="JL4" s="4" t="s">
        <v>159</v>
      </c>
      <c r="JM4" s="4"/>
      <c r="JN4" s="4"/>
      <c r="JO4" s="4" t="s">
        <v>158</v>
      </c>
      <c r="JP4" s="4"/>
      <c r="JQ4" s="4"/>
      <c r="JR4" s="4" t="s">
        <v>159</v>
      </c>
      <c r="JS4" s="4"/>
      <c r="JT4" s="4"/>
      <c r="JU4" s="4" t="s">
        <v>158</v>
      </c>
      <c r="JV4" s="4"/>
      <c r="JW4" s="4"/>
      <c r="JX4" s="4"/>
      <c r="JY4" s="4"/>
      <c r="JZ4" s="4"/>
      <c r="KA4" s="4" t="s">
        <v>159</v>
      </c>
      <c r="KB4" s="4"/>
      <c r="KC4" s="4"/>
      <c r="KD4" s="4"/>
      <c r="KE4" s="4"/>
      <c r="KF4" s="4"/>
    </row>
    <row r="5" ht="14.3" customHeight="1" spans="1:292">
      <c r="A5" s="4"/>
      <c r="B5" s="4"/>
      <c r="C5" s="4"/>
      <c r="D5" s="4"/>
      <c r="E5" s="4"/>
      <c r="F5" s="4" t="s">
        <v>97</v>
      </c>
      <c r="G5" s="4" t="s">
        <v>160</v>
      </c>
      <c r="H5" s="4" t="s">
        <v>161</v>
      </c>
      <c r="I5" s="4" t="s">
        <v>162</v>
      </c>
      <c r="J5" s="4" t="s">
        <v>97</v>
      </c>
      <c r="K5" s="4" t="s">
        <v>163</v>
      </c>
      <c r="L5" s="4" t="s">
        <v>164</v>
      </c>
      <c r="M5" s="4"/>
      <c r="N5" s="4"/>
      <c r="O5" s="4"/>
      <c r="P5" s="4"/>
      <c r="Q5" s="4"/>
      <c r="R5" s="4" t="s">
        <v>165</v>
      </c>
      <c r="S5" s="4"/>
      <c r="T5" s="4"/>
      <c r="U5" s="4"/>
      <c r="V5" s="4"/>
      <c r="W5" s="4"/>
      <c r="X5" s="4"/>
      <c r="Y5" s="4"/>
      <c r="Z5" s="4" t="s">
        <v>166</v>
      </c>
      <c r="AA5" s="4"/>
      <c r="AB5" s="4"/>
      <c r="AC5" s="4"/>
      <c r="AD5" s="4"/>
      <c r="AE5" s="4"/>
      <c r="AF5" s="4"/>
      <c r="AG5" s="4"/>
      <c r="AH5" s="4" t="s">
        <v>167</v>
      </c>
      <c r="AI5" s="4"/>
      <c r="AJ5" s="4"/>
      <c r="AK5" s="4"/>
      <c r="AL5" s="4"/>
      <c r="AM5" s="4"/>
      <c r="AN5" s="4"/>
      <c r="AO5" s="4" t="s">
        <v>168</v>
      </c>
      <c r="AP5" s="4"/>
      <c r="AQ5" s="4"/>
      <c r="AR5" s="4"/>
      <c r="AS5" s="4"/>
      <c r="AT5" s="4"/>
      <c r="AU5" s="4"/>
      <c r="AV5" s="4" t="s">
        <v>167</v>
      </c>
      <c r="AW5" s="4"/>
      <c r="AX5" s="4"/>
      <c r="AY5" s="4"/>
      <c r="AZ5" s="4"/>
      <c r="BA5" s="4" t="s">
        <v>168</v>
      </c>
      <c r="BB5" s="4"/>
      <c r="BC5" s="4"/>
      <c r="BD5" s="4"/>
      <c r="BE5" s="4"/>
      <c r="BF5" s="4" t="s">
        <v>167</v>
      </c>
      <c r="BG5" s="4"/>
      <c r="BH5" s="4"/>
      <c r="BI5" s="4"/>
      <c r="BJ5" s="4"/>
      <c r="BK5" s="4" t="s">
        <v>167</v>
      </c>
      <c r="BL5" s="4"/>
      <c r="BM5" s="4"/>
      <c r="BN5" s="4"/>
      <c r="BO5" s="4"/>
      <c r="BP5" s="4" t="s">
        <v>167</v>
      </c>
      <c r="BQ5" s="4"/>
      <c r="BR5" s="4"/>
      <c r="BS5" s="4"/>
      <c r="BT5" s="4"/>
      <c r="BU5" s="4" t="s">
        <v>167</v>
      </c>
      <c r="BV5" s="4"/>
      <c r="BW5" s="4"/>
      <c r="BX5" s="4"/>
      <c r="BY5" s="4"/>
      <c r="BZ5" s="4" t="s">
        <v>169</v>
      </c>
      <c r="CA5" s="4"/>
      <c r="CB5" s="4"/>
      <c r="CC5" s="4"/>
      <c r="CD5" s="4"/>
      <c r="CE5" s="4"/>
      <c r="CF5" s="4"/>
      <c r="CG5" s="4"/>
      <c r="CH5" s="4" t="s">
        <v>170</v>
      </c>
      <c r="CI5" s="4"/>
      <c r="CJ5" s="4"/>
      <c r="CK5" s="4"/>
      <c r="CL5" s="4"/>
      <c r="CM5" s="4"/>
      <c r="CN5" s="4"/>
      <c r="CO5" s="4"/>
      <c r="CP5" s="4" t="s">
        <v>169</v>
      </c>
      <c r="CQ5" s="4"/>
      <c r="CR5" s="4"/>
      <c r="CS5" s="4"/>
      <c r="CT5" s="4"/>
      <c r="CU5" s="4"/>
      <c r="CV5" s="4"/>
      <c r="CW5" s="4" t="s">
        <v>170</v>
      </c>
      <c r="CX5" s="4"/>
      <c r="CY5" s="4"/>
      <c r="CZ5" s="4"/>
      <c r="DA5" s="4"/>
      <c r="DB5" s="4"/>
      <c r="DC5" s="4"/>
      <c r="DD5" s="4" t="s">
        <v>169</v>
      </c>
      <c r="DE5" s="4"/>
      <c r="DF5" s="4"/>
      <c r="DG5" s="4"/>
      <c r="DH5" s="4"/>
      <c r="DI5" s="4" t="s">
        <v>171</v>
      </c>
      <c r="DJ5" s="4"/>
      <c r="DK5" s="4"/>
      <c r="DL5" s="4"/>
      <c r="DM5" s="4"/>
      <c r="DN5" s="4" t="s">
        <v>169</v>
      </c>
      <c r="DO5" s="4"/>
      <c r="DP5" s="4"/>
      <c r="DQ5" s="4"/>
      <c r="DR5" s="4"/>
      <c r="DS5" s="4" t="s">
        <v>169</v>
      </c>
      <c r="DT5" s="4"/>
      <c r="DU5" s="4"/>
      <c r="DV5" s="4"/>
      <c r="DW5" s="4"/>
      <c r="DX5" s="4" t="s">
        <v>169</v>
      </c>
      <c r="DY5" s="4"/>
      <c r="DZ5" s="4"/>
      <c r="EA5" s="4"/>
      <c r="EB5" s="4"/>
      <c r="EC5" s="4" t="s">
        <v>169</v>
      </c>
      <c r="ED5" s="4"/>
      <c r="EE5" s="4"/>
      <c r="EF5" s="4"/>
      <c r="EG5" s="4"/>
      <c r="EH5" s="4" t="s">
        <v>150</v>
      </c>
      <c r="EI5" s="4"/>
      <c r="EJ5" s="4"/>
      <c r="EK5" s="4"/>
      <c r="EL5" s="4"/>
      <c r="EM5" s="4" t="s">
        <v>151</v>
      </c>
      <c r="EN5" s="4"/>
      <c r="EO5" s="4"/>
      <c r="EP5" s="4"/>
      <c r="EQ5" s="4" t="s">
        <v>152</v>
      </c>
      <c r="ER5" s="4" t="s">
        <v>153</v>
      </c>
      <c r="ES5" s="4" t="s">
        <v>154</v>
      </c>
      <c r="ET5" s="4" t="s">
        <v>155</v>
      </c>
      <c r="EU5" s="4" t="s">
        <v>156</v>
      </c>
      <c r="EV5" s="4" t="s">
        <v>172</v>
      </c>
      <c r="EW5" s="4" t="s">
        <v>173</v>
      </c>
      <c r="EX5" s="4" t="s">
        <v>174</v>
      </c>
      <c r="EY5" s="4" t="s">
        <v>175</v>
      </c>
      <c r="EZ5" s="4" t="s">
        <v>176</v>
      </c>
      <c r="FA5" s="4" t="s">
        <v>174</v>
      </c>
      <c r="FB5" s="4" t="s">
        <v>150</v>
      </c>
      <c r="FC5" s="4"/>
      <c r="FD5" s="4"/>
      <c r="FE5" s="4"/>
      <c r="FF5" s="4"/>
      <c r="FG5" s="4"/>
      <c r="FH5" s="4"/>
      <c r="FI5" s="4"/>
      <c r="FJ5" s="4" t="s">
        <v>151</v>
      </c>
      <c r="FK5" s="4"/>
      <c r="FL5" s="4"/>
      <c r="FM5" s="4"/>
      <c r="FN5" s="4"/>
      <c r="FO5" s="4"/>
      <c r="FP5" s="4"/>
      <c r="FQ5" s="4" t="s">
        <v>152</v>
      </c>
      <c r="FR5" s="4"/>
      <c r="FS5" s="4"/>
      <c r="FT5" s="4"/>
      <c r="FU5" s="4"/>
      <c r="FV5" s="4" t="s">
        <v>153</v>
      </c>
      <c r="FW5" s="4"/>
      <c r="FX5" s="4"/>
      <c r="FY5" s="4"/>
      <c r="FZ5" s="4"/>
      <c r="GA5" s="4" t="s">
        <v>154</v>
      </c>
      <c r="GB5" s="4"/>
      <c r="GC5" s="4"/>
      <c r="GD5" s="4"/>
      <c r="GE5" s="4"/>
      <c r="GF5" s="4" t="s">
        <v>155</v>
      </c>
      <c r="GG5" s="4"/>
      <c r="GH5" s="4"/>
      <c r="GI5" s="4"/>
      <c r="GJ5" s="4"/>
      <c r="GK5" s="4" t="s">
        <v>156</v>
      </c>
      <c r="GL5" s="4"/>
      <c r="GM5" s="4"/>
      <c r="GN5" s="4"/>
      <c r="GO5" s="4"/>
      <c r="GP5" s="4" t="s">
        <v>172</v>
      </c>
      <c r="GQ5" s="4" t="s">
        <v>173</v>
      </c>
      <c r="GR5" s="4" t="s">
        <v>174</v>
      </c>
      <c r="GS5" s="4" t="s">
        <v>175</v>
      </c>
      <c r="GT5" s="4" t="s">
        <v>176</v>
      </c>
      <c r="GU5" s="4" t="s">
        <v>174</v>
      </c>
      <c r="GV5" s="4" t="s">
        <v>150</v>
      </c>
      <c r="GW5" s="4"/>
      <c r="GX5" s="4"/>
      <c r="GY5" s="4"/>
      <c r="GZ5" s="4"/>
      <c r="HA5" s="4"/>
      <c r="HB5" s="4"/>
      <c r="HC5" s="4"/>
      <c r="HD5" s="4"/>
      <c r="HE5" s="4" t="s">
        <v>151</v>
      </c>
      <c r="HF5" s="4"/>
      <c r="HG5" s="4"/>
      <c r="HH5" s="4"/>
      <c r="HI5" s="4"/>
      <c r="HJ5" s="4"/>
      <c r="HK5" s="4"/>
      <c r="HL5" s="4"/>
      <c r="HM5" s="4" t="s">
        <v>152</v>
      </c>
      <c r="HN5" s="4"/>
      <c r="HO5" s="4"/>
      <c r="HP5" s="4"/>
      <c r="HQ5" s="4"/>
      <c r="HR5" s="4"/>
      <c r="HS5" s="4" t="s">
        <v>153</v>
      </c>
      <c r="HT5" s="4"/>
      <c r="HU5" s="4"/>
      <c r="HV5" s="4"/>
      <c r="HW5" s="4"/>
      <c r="HX5" s="4"/>
      <c r="HY5" s="4" t="s">
        <v>154</v>
      </c>
      <c r="HZ5" s="4"/>
      <c r="IA5" s="4"/>
      <c r="IB5" s="4"/>
      <c r="IC5" s="4"/>
      <c r="ID5" s="4"/>
      <c r="IE5" s="4" t="s">
        <v>155</v>
      </c>
      <c r="IF5" s="4"/>
      <c r="IG5" s="4"/>
      <c r="IH5" s="4"/>
      <c r="II5" s="4"/>
      <c r="IJ5" s="4"/>
      <c r="IK5" s="4" t="s">
        <v>156</v>
      </c>
      <c r="IL5" s="4"/>
      <c r="IM5" s="4"/>
      <c r="IN5" s="4"/>
      <c r="IO5" s="4"/>
      <c r="IP5" s="4"/>
      <c r="IQ5" s="4" t="s">
        <v>172</v>
      </c>
      <c r="IR5" s="4"/>
      <c r="IS5" s="4"/>
      <c r="IT5" s="4" t="s">
        <v>173</v>
      </c>
      <c r="IU5" s="4"/>
      <c r="IV5" s="4"/>
      <c r="IW5" s="4" t="s">
        <v>174</v>
      </c>
      <c r="IX5" s="4"/>
      <c r="IY5" s="4"/>
      <c r="IZ5" s="4" t="s">
        <v>175</v>
      </c>
      <c r="JA5" s="4"/>
      <c r="JB5" s="4"/>
      <c r="JC5" s="4" t="s">
        <v>176</v>
      </c>
      <c r="JD5" s="4"/>
      <c r="JE5" s="4"/>
      <c r="JF5" s="4" t="s">
        <v>174</v>
      </c>
      <c r="JG5" s="4"/>
      <c r="JH5" s="4"/>
      <c r="JI5" s="4" t="s">
        <v>172</v>
      </c>
      <c r="JJ5" s="4" t="s">
        <v>173</v>
      </c>
      <c r="JK5" s="4" t="s">
        <v>174</v>
      </c>
      <c r="JL5" s="4" t="s">
        <v>175</v>
      </c>
      <c r="JM5" s="4" t="s">
        <v>176</v>
      </c>
      <c r="JN5" s="4" t="s">
        <v>174</v>
      </c>
      <c r="JO5" s="4" t="s">
        <v>177</v>
      </c>
      <c r="JP5" s="4" t="s">
        <v>178</v>
      </c>
      <c r="JQ5" s="4" t="s">
        <v>156</v>
      </c>
      <c r="JR5" s="4" t="s">
        <v>175</v>
      </c>
      <c r="JS5" s="4" t="s">
        <v>176</v>
      </c>
      <c r="JT5" s="4" t="s">
        <v>174</v>
      </c>
      <c r="JU5" s="4" t="s">
        <v>172</v>
      </c>
      <c r="JV5" s="4"/>
      <c r="JW5" s="4" t="s">
        <v>173</v>
      </c>
      <c r="JX5" s="4"/>
      <c r="JY5" s="4" t="s">
        <v>174</v>
      </c>
      <c r="JZ5" s="4"/>
      <c r="KA5" s="4" t="s">
        <v>175</v>
      </c>
      <c r="KB5" s="4"/>
      <c r="KC5" s="4" t="s">
        <v>176</v>
      </c>
      <c r="KD5" s="4"/>
      <c r="KE5" s="4" t="s">
        <v>174</v>
      </c>
      <c r="KF5" s="4"/>
    </row>
    <row r="6" ht="14.3" customHeight="1" spans="1:29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 t="s">
        <v>97</v>
      </c>
      <c r="S6" s="4" t="s">
        <v>179</v>
      </c>
      <c r="T6" s="4"/>
      <c r="U6" s="4"/>
      <c r="V6" s="4"/>
      <c r="W6" s="4"/>
      <c r="X6" s="4"/>
      <c r="Y6" s="4" t="s">
        <v>111</v>
      </c>
      <c r="Z6" s="4" t="s">
        <v>97</v>
      </c>
      <c r="AA6" s="4" t="s">
        <v>179</v>
      </c>
      <c r="AB6" s="4"/>
      <c r="AC6" s="4"/>
      <c r="AD6" s="4"/>
      <c r="AE6" s="4"/>
      <c r="AF6" s="4"/>
      <c r="AG6" s="4" t="s">
        <v>111</v>
      </c>
      <c r="AH6" s="4" t="s">
        <v>97</v>
      </c>
      <c r="AI6" s="4" t="s">
        <v>179</v>
      </c>
      <c r="AJ6" s="4"/>
      <c r="AK6" s="4"/>
      <c r="AL6" s="4"/>
      <c r="AM6" s="4"/>
      <c r="AN6" s="4" t="s">
        <v>111</v>
      </c>
      <c r="AO6" s="4" t="s">
        <v>97</v>
      </c>
      <c r="AP6" s="4" t="s">
        <v>179</v>
      </c>
      <c r="AQ6" s="4"/>
      <c r="AR6" s="4"/>
      <c r="AS6" s="4"/>
      <c r="AT6" s="4"/>
      <c r="AU6" s="4" t="s">
        <v>111</v>
      </c>
      <c r="AV6" s="4" t="s">
        <v>97</v>
      </c>
      <c r="AW6" s="4" t="s">
        <v>179</v>
      </c>
      <c r="AX6" s="4"/>
      <c r="AY6" s="4"/>
      <c r="AZ6" s="4" t="s">
        <v>111</v>
      </c>
      <c r="BA6" s="4" t="s">
        <v>97</v>
      </c>
      <c r="BB6" s="4" t="s">
        <v>179</v>
      </c>
      <c r="BC6" s="4"/>
      <c r="BD6" s="4"/>
      <c r="BE6" s="4" t="s">
        <v>111</v>
      </c>
      <c r="BF6" s="4" t="s">
        <v>97</v>
      </c>
      <c r="BG6" s="4" t="s">
        <v>179</v>
      </c>
      <c r="BH6" s="4"/>
      <c r="BI6" s="4"/>
      <c r="BJ6" s="4" t="s">
        <v>111</v>
      </c>
      <c r="BK6" s="4" t="s">
        <v>97</v>
      </c>
      <c r="BL6" s="4" t="s">
        <v>179</v>
      </c>
      <c r="BM6" s="4"/>
      <c r="BN6" s="4"/>
      <c r="BO6" s="4" t="s">
        <v>111</v>
      </c>
      <c r="BP6" s="4" t="s">
        <v>97</v>
      </c>
      <c r="BQ6" s="4" t="s">
        <v>179</v>
      </c>
      <c r="BR6" s="4"/>
      <c r="BS6" s="4"/>
      <c r="BT6" s="4" t="s">
        <v>111</v>
      </c>
      <c r="BU6" s="4" t="s">
        <v>97</v>
      </c>
      <c r="BV6" s="4" t="s">
        <v>179</v>
      </c>
      <c r="BW6" s="4"/>
      <c r="BX6" s="4"/>
      <c r="BY6" s="4" t="s">
        <v>111</v>
      </c>
      <c r="BZ6" s="4" t="s">
        <v>102</v>
      </c>
      <c r="CA6" s="4" t="s">
        <v>103</v>
      </c>
      <c r="CB6" s="4" t="s">
        <v>104</v>
      </c>
      <c r="CC6" s="4" t="s">
        <v>180</v>
      </c>
      <c r="CD6" s="4"/>
      <c r="CE6" s="4" t="s">
        <v>181</v>
      </c>
      <c r="CF6" s="4"/>
      <c r="CG6" s="4"/>
      <c r="CH6" s="4" t="s">
        <v>102</v>
      </c>
      <c r="CI6" s="4" t="s">
        <v>103</v>
      </c>
      <c r="CJ6" s="4" t="s">
        <v>104</v>
      </c>
      <c r="CK6" s="4" t="s">
        <v>180</v>
      </c>
      <c r="CL6" s="4"/>
      <c r="CM6" s="4" t="s">
        <v>182</v>
      </c>
      <c r="CN6" s="4"/>
      <c r="CO6" s="4"/>
      <c r="CP6" s="4" t="s">
        <v>102</v>
      </c>
      <c r="CQ6" s="4" t="s">
        <v>103</v>
      </c>
      <c r="CR6" s="4" t="s">
        <v>104</v>
      </c>
      <c r="CS6" s="4" t="s">
        <v>180</v>
      </c>
      <c r="CT6" s="4"/>
      <c r="CU6" s="4" t="s">
        <v>181</v>
      </c>
      <c r="CV6" s="4"/>
      <c r="CW6" s="4" t="s">
        <v>102</v>
      </c>
      <c r="CX6" s="4" t="s">
        <v>103</v>
      </c>
      <c r="CY6" s="4" t="s">
        <v>104</v>
      </c>
      <c r="CZ6" s="4" t="s">
        <v>180</v>
      </c>
      <c r="DA6" s="4"/>
      <c r="DB6" s="4" t="s">
        <v>182</v>
      </c>
      <c r="DC6" s="4"/>
      <c r="DD6" s="4" t="s">
        <v>102</v>
      </c>
      <c r="DE6" s="4" t="s">
        <v>103</v>
      </c>
      <c r="DF6" s="4" t="s">
        <v>104</v>
      </c>
      <c r="DG6" s="4" t="s">
        <v>180</v>
      </c>
      <c r="DH6" s="4"/>
      <c r="DI6" s="4" t="s">
        <v>102</v>
      </c>
      <c r="DJ6" s="4" t="s">
        <v>103</v>
      </c>
      <c r="DK6" s="4" t="s">
        <v>104</v>
      </c>
      <c r="DL6" s="4" t="s">
        <v>180</v>
      </c>
      <c r="DM6" s="4"/>
      <c r="DN6" s="4" t="s">
        <v>102</v>
      </c>
      <c r="DO6" s="4" t="s">
        <v>103</v>
      </c>
      <c r="DP6" s="4" t="s">
        <v>104</v>
      </c>
      <c r="DQ6" s="4" t="s">
        <v>180</v>
      </c>
      <c r="DR6" s="4"/>
      <c r="DS6" s="4" t="s">
        <v>102</v>
      </c>
      <c r="DT6" s="4" t="s">
        <v>103</v>
      </c>
      <c r="DU6" s="4" t="s">
        <v>104</v>
      </c>
      <c r="DV6" s="4" t="s">
        <v>180</v>
      </c>
      <c r="DW6" s="4"/>
      <c r="DX6" s="4" t="s">
        <v>102</v>
      </c>
      <c r="DY6" s="4" t="s">
        <v>103</v>
      </c>
      <c r="DZ6" s="4" t="s">
        <v>104</v>
      </c>
      <c r="EA6" s="4" t="s">
        <v>180</v>
      </c>
      <c r="EB6" s="4"/>
      <c r="EC6" s="4" t="s">
        <v>102</v>
      </c>
      <c r="ED6" s="4" t="s">
        <v>103</v>
      </c>
      <c r="EE6" s="4" t="s">
        <v>104</v>
      </c>
      <c r="EF6" s="4" t="s">
        <v>180</v>
      </c>
      <c r="EG6" s="4"/>
      <c r="EH6" s="4" t="s">
        <v>183</v>
      </c>
      <c r="EI6" s="4" t="s">
        <v>160</v>
      </c>
      <c r="EJ6" s="4" t="s">
        <v>161</v>
      </c>
      <c r="EK6" s="4" t="s">
        <v>162</v>
      </c>
      <c r="EL6" s="4" t="s">
        <v>184</v>
      </c>
      <c r="EM6" s="4" t="s">
        <v>183</v>
      </c>
      <c r="EN6" s="4" t="s">
        <v>163</v>
      </c>
      <c r="EO6" s="4" t="s">
        <v>164</v>
      </c>
      <c r="EP6" s="4" t="s">
        <v>185</v>
      </c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 t="s">
        <v>97</v>
      </c>
      <c r="FC6" s="4" t="s">
        <v>179</v>
      </c>
      <c r="FD6" s="4"/>
      <c r="FE6" s="4"/>
      <c r="FF6" s="4"/>
      <c r="FG6" s="4"/>
      <c r="FH6" s="4"/>
      <c r="FI6" s="4" t="s">
        <v>111</v>
      </c>
      <c r="FJ6" s="4" t="s">
        <v>97</v>
      </c>
      <c r="FK6" s="4" t="s">
        <v>179</v>
      </c>
      <c r="FL6" s="4"/>
      <c r="FM6" s="4"/>
      <c r="FN6" s="4"/>
      <c r="FO6" s="4"/>
      <c r="FP6" s="4" t="s">
        <v>111</v>
      </c>
      <c r="FQ6" s="4" t="s">
        <v>97</v>
      </c>
      <c r="FR6" s="4" t="s">
        <v>179</v>
      </c>
      <c r="FS6" s="4"/>
      <c r="FT6" s="4"/>
      <c r="FU6" s="4" t="s">
        <v>111</v>
      </c>
      <c r="FV6" s="4" t="s">
        <v>97</v>
      </c>
      <c r="FW6" s="4" t="s">
        <v>179</v>
      </c>
      <c r="FX6" s="4"/>
      <c r="FY6" s="4"/>
      <c r="FZ6" s="4" t="s">
        <v>111</v>
      </c>
      <c r="GA6" s="4" t="s">
        <v>97</v>
      </c>
      <c r="GB6" s="4" t="s">
        <v>179</v>
      </c>
      <c r="GC6" s="4"/>
      <c r="GD6" s="4"/>
      <c r="GE6" s="4" t="s">
        <v>111</v>
      </c>
      <c r="GF6" s="4" t="s">
        <v>97</v>
      </c>
      <c r="GG6" s="4" t="s">
        <v>179</v>
      </c>
      <c r="GH6" s="4"/>
      <c r="GI6" s="4"/>
      <c r="GJ6" s="4" t="s">
        <v>111</v>
      </c>
      <c r="GK6" s="4" t="s">
        <v>97</v>
      </c>
      <c r="GL6" s="4" t="s">
        <v>179</v>
      </c>
      <c r="GM6" s="4"/>
      <c r="GN6" s="4"/>
      <c r="GO6" s="4" t="s">
        <v>111</v>
      </c>
      <c r="GP6" s="4"/>
      <c r="GQ6" s="4"/>
      <c r="GR6" s="4"/>
      <c r="GS6" s="4"/>
      <c r="GT6" s="4"/>
      <c r="GU6" s="4"/>
      <c r="GV6" s="4" t="s">
        <v>186</v>
      </c>
      <c r="GW6" s="4" t="s">
        <v>103</v>
      </c>
      <c r="GX6" s="4" t="s">
        <v>104</v>
      </c>
      <c r="GY6" s="4" t="s">
        <v>180</v>
      </c>
      <c r="GZ6" s="4"/>
      <c r="HA6" s="4" t="s">
        <v>187</v>
      </c>
      <c r="HB6" s="4"/>
      <c r="HC6" s="4"/>
      <c r="HD6" s="4" t="s">
        <v>188</v>
      </c>
      <c r="HE6" s="4" t="s">
        <v>186</v>
      </c>
      <c r="HF6" s="4" t="s">
        <v>103</v>
      </c>
      <c r="HG6" s="4" t="s">
        <v>104</v>
      </c>
      <c r="HH6" s="4" t="s">
        <v>180</v>
      </c>
      <c r="HI6" s="4"/>
      <c r="HJ6" s="4" t="s">
        <v>187</v>
      </c>
      <c r="HK6" s="4"/>
      <c r="HL6" s="4" t="s">
        <v>188</v>
      </c>
      <c r="HM6" s="4" t="s">
        <v>186</v>
      </c>
      <c r="HN6" s="4" t="s">
        <v>103</v>
      </c>
      <c r="HO6" s="4" t="s">
        <v>104</v>
      </c>
      <c r="HP6" s="4" t="s">
        <v>180</v>
      </c>
      <c r="HQ6" s="4"/>
      <c r="HR6" s="4" t="s">
        <v>188</v>
      </c>
      <c r="HS6" s="4" t="s">
        <v>186</v>
      </c>
      <c r="HT6" s="4" t="s">
        <v>103</v>
      </c>
      <c r="HU6" s="4" t="s">
        <v>104</v>
      </c>
      <c r="HV6" s="4" t="s">
        <v>180</v>
      </c>
      <c r="HW6" s="4"/>
      <c r="HX6" s="4" t="s">
        <v>188</v>
      </c>
      <c r="HY6" s="4" t="s">
        <v>186</v>
      </c>
      <c r="HZ6" s="4" t="s">
        <v>103</v>
      </c>
      <c r="IA6" s="4" t="s">
        <v>104</v>
      </c>
      <c r="IB6" s="4" t="s">
        <v>180</v>
      </c>
      <c r="IC6" s="4"/>
      <c r="ID6" s="4" t="s">
        <v>188</v>
      </c>
      <c r="IE6" s="4" t="s">
        <v>186</v>
      </c>
      <c r="IF6" s="4" t="s">
        <v>103</v>
      </c>
      <c r="IG6" s="4" t="s">
        <v>104</v>
      </c>
      <c r="IH6" s="4" t="s">
        <v>180</v>
      </c>
      <c r="II6" s="4"/>
      <c r="IJ6" s="4" t="s">
        <v>188</v>
      </c>
      <c r="IK6" s="4" t="s">
        <v>186</v>
      </c>
      <c r="IL6" s="4" t="s">
        <v>103</v>
      </c>
      <c r="IM6" s="4" t="s">
        <v>104</v>
      </c>
      <c r="IN6" s="4" t="s">
        <v>180</v>
      </c>
      <c r="IO6" s="4"/>
      <c r="IP6" s="4" t="s">
        <v>188</v>
      </c>
      <c r="IQ6" s="4" t="s">
        <v>186</v>
      </c>
      <c r="IR6" s="4" t="s">
        <v>103</v>
      </c>
      <c r="IS6" s="4" t="s">
        <v>104</v>
      </c>
      <c r="IT6" s="4" t="s">
        <v>186</v>
      </c>
      <c r="IU6" s="4" t="s">
        <v>103</v>
      </c>
      <c r="IV6" s="4" t="s">
        <v>104</v>
      </c>
      <c r="IW6" s="4" t="s">
        <v>186</v>
      </c>
      <c r="IX6" s="4" t="s">
        <v>103</v>
      </c>
      <c r="IY6" s="4" t="s">
        <v>104</v>
      </c>
      <c r="IZ6" s="4" t="s">
        <v>186</v>
      </c>
      <c r="JA6" s="4" t="s">
        <v>103</v>
      </c>
      <c r="JB6" s="4" t="s">
        <v>104</v>
      </c>
      <c r="JC6" s="4" t="s">
        <v>186</v>
      </c>
      <c r="JD6" s="4" t="s">
        <v>103</v>
      </c>
      <c r="JE6" s="4" t="s">
        <v>104</v>
      </c>
      <c r="JF6" s="4" t="s">
        <v>186</v>
      </c>
      <c r="JG6" s="4" t="s">
        <v>103</v>
      </c>
      <c r="JH6" s="4" t="s">
        <v>104</v>
      </c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 t="s">
        <v>124</v>
      </c>
      <c r="JV6" s="4" t="s">
        <v>125</v>
      </c>
      <c r="JW6" s="4" t="s">
        <v>124</v>
      </c>
      <c r="JX6" s="4" t="s">
        <v>125</v>
      </c>
      <c r="JY6" s="4" t="s">
        <v>124</v>
      </c>
      <c r="JZ6" s="4" t="s">
        <v>125</v>
      </c>
      <c r="KA6" s="4" t="s">
        <v>124</v>
      </c>
      <c r="KB6" s="4" t="s">
        <v>125</v>
      </c>
      <c r="KC6" s="4" t="s">
        <v>124</v>
      </c>
      <c r="KD6" s="4" t="s">
        <v>125</v>
      </c>
      <c r="KE6" s="4" t="s">
        <v>124</v>
      </c>
      <c r="KF6" s="4" t="s">
        <v>125</v>
      </c>
    </row>
    <row r="7" ht="14.3" customHeight="1" spans="1:29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129</v>
      </c>
      <c r="T7" s="4"/>
      <c r="U7" s="4"/>
      <c r="V7" s="4"/>
      <c r="W7" s="4" t="s">
        <v>130</v>
      </c>
      <c r="X7" s="4" t="s">
        <v>131</v>
      </c>
      <c r="Y7" s="4"/>
      <c r="Z7" s="4"/>
      <c r="AA7" s="4" t="s">
        <v>129</v>
      </c>
      <c r="AB7" s="4"/>
      <c r="AC7" s="4"/>
      <c r="AD7" s="4"/>
      <c r="AE7" s="4" t="s">
        <v>130</v>
      </c>
      <c r="AF7" s="4" t="s">
        <v>131</v>
      </c>
      <c r="AG7" s="4"/>
      <c r="AH7" s="4"/>
      <c r="AI7" s="4" t="s">
        <v>129</v>
      </c>
      <c r="AJ7" s="4"/>
      <c r="AK7" s="4"/>
      <c r="AL7" s="4" t="s">
        <v>130</v>
      </c>
      <c r="AM7" s="4" t="s">
        <v>131</v>
      </c>
      <c r="AN7" s="4"/>
      <c r="AO7" s="4"/>
      <c r="AP7" s="4" t="s">
        <v>129</v>
      </c>
      <c r="AQ7" s="4"/>
      <c r="AR7" s="4"/>
      <c r="AS7" s="4" t="s">
        <v>130</v>
      </c>
      <c r="AT7" s="4" t="s">
        <v>131</v>
      </c>
      <c r="AU7" s="4"/>
      <c r="AV7" s="4"/>
      <c r="AW7" s="4" t="s">
        <v>129</v>
      </c>
      <c r="AX7" s="4" t="s">
        <v>130</v>
      </c>
      <c r="AY7" s="4" t="s">
        <v>131</v>
      </c>
      <c r="AZ7" s="4"/>
      <c r="BA7" s="4"/>
      <c r="BB7" s="4" t="s">
        <v>129</v>
      </c>
      <c r="BC7" s="4" t="s">
        <v>130</v>
      </c>
      <c r="BD7" s="4" t="s">
        <v>131</v>
      </c>
      <c r="BE7" s="4"/>
      <c r="BF7" s="4"/>
      <c r="BG7" s="4" t="s">
        <v>129</v>
      </c>
      <c r="BH7" s="4" t="s">
        <v>130</v>
      </c>
      <c r="BI7" s="4" t="s">
        <v>131</v>
      </c>
      <c r="BJ7" s="4"/>
      <c r="BK7" s="4"/>
      <c r="BL7" s="4" t="s">
        <v>129</v>
      </c>
      <c r="BM7" s="4" t="s">
        <v>130</v>
      </c>
      <c r="BN7" s="4" t="s">
        <v>131</v>
      </c>
      <c r="BO7" s="4"/>
      <c r="BP7" s="4"/>
      <c r="BQ7" s="4" t="s">
        <v>129</v>
      </c>
      <c r="BR7" s="4" t="s">
        <v>130</v>
      </c>
      <c r="BS7" s="4" t="s">
        <v>131</v>
      </c>
      <c r="BT7" s="4"/>
      <c r="BU7" s="4"/>
      <c r="BV7" s="4" t="s">
        <v>129</v>
      </c>
      <c r="BW7" s="4" t="s">
        <v>130</v>
      </c>
      <c r="BX7" s="4" t="s">
        <v>131</v>
      </c>
      <c r="BY7" s="4"/>
      <c r="BZ7" s="4"/>
      <c r="CA7" s="4"/>
      <c r="CB7" s="4"/>
      <c r="CC7" s="4" t="s">
        <v>132</v>
      </c>
      <c r="CD7" s="4" t="s">
        <v>133</v>
      </c>
      <c r="CE7" s="4" t="s">
        <v>160</v>
      </c>
      <c r="CF7" s="4" t="s">
        <v>161</v>
      </c>
      <c r="CG7" s="4" t="s">
        <v>162</v>
      </c>
      <c r="CH7" s="4"/>
      <c r="CI7" s="4"/>
      <c r="CJ7" s="4"/>
      <c r="CK7" s="4" t="s">
        <v>132</v>
      </c>
      <c r="CL7" s="4" t="s">
        <v>133</v>
      </c>
      <c r="CM7" s="4" t="s">
        <v>160</v>
      </c>
      <c r="CN7" s="4" t="s">
        <v>161</v>
      </c>
      <c r="CO7" s="4" t="s">
        <v>162</v>
      </c>
      <c r="CP7" s="4"/>
      <c r="CQ7" s="4"/>
      <c r="CR7" s="4"/>
      <c r="CS7" s="4" t="s">
        <v>132</v>
      </c>
      <c r="CT7" s="4" t="s">
        <v>133</v>
      </c>
      <c r="CU7" s="4" t="s">
        <v>189</v>
      </c>
      <c r="CV7" s="4" t="s">
        <v>164</v>
      </c>
      <c r="CW7" s="4"/>
      <c r="CX7" s="4"/>
      <c r="CY7" s="4"/>
      <c r="CZ7" s="4" t="s">
        <v>132</v>
      </c>
      <c r="DA7" s="4" t="s">
        <v>133</v>
      </c>
      <c r="DB7" s="4" t="s">
        <v>189</v>
      </c>
      <c r="DC7" s="4" t="s">
        <v>164</v>
      </c>
      <c r="DD7" s="4"/>
      <c r="DE7" s="4"/>
      <c r="DF7" s="4"/>
      <c r="DG7" s="4" t="s">
        <v>132</v>
      </c>
      <c r="DH7" s="4" t="s">
        <v>133</v>
      </c>
      <c r="DI7" s="4"/>
      <c r="DJ7" s="4"/>
      <c r="DK7" s="4"/>
      <c r="DL7" s="4" t="s">
        <v>132</v>
      </c>
      <c r="DM7" s="4" t="s">
        <v>133</v>
      </c>
      <c r="DN7" s="4"/>
      <c r="DO7" s="4"/>
      <c r="DP7" s="4"/>
      <c r="DQ7" s="4" t="s">
        <v>132</v>
      </c>
      <c r="DR7" s="4" t="s">
        <v>133</v>
      </c>
      <c r="DS7" s="4"/>
      <c r="DT7" s="4"/>
      <c r="DU7" s="4"/>
      <c r="DV7" s="4" t="s">
        <v>132</v>
      </c>
      <c r="DW7" s="4" t="s">
        <v>133</v>
      </c>
      <c r="DX7" s="4"/>
      <c r="DY7" s="4"/>
      <c r="DZ7" s="4"/>
      <c r="EA7" s="4" t="s">
        <v>132</v>
      </c>
      <c r="EB7" s="4" t="s">
        <v>133</v>
      </c>
      <c r="EC7" s="4"/>
      <c r="ED7" s="4"/>
      <c r="EE7" s="4"/>
      <c r="EF7" s="4" t="s">
        <v>132</v>
      </c>
      <c r="EG7" s="4" t="s">
        <v>133</v>
      </c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 t="s">
        <v>129</v>
      </c>
      <c r="FD7" s="4"/>
      <c r="FE7" s="4"/>
      <c r="FF7" s="4"/>
      <c r="FG7" s="4" t="s">
        <v>130</v>
      </c>
      <c r="FH7" s="4" t="s">
        <v>131</v>
      </c>
      <c r="FI7" s="4"/>
      <c r="FJ7" s="4"/>
      <c r="FK7" s="4" t="s">
        <v>129</v>
      </c>
      <c r="FL7" s="4"/>
      <c r="FM7" s="4"/>
      <c r="FN7" s="4" t="s">
        <v>130</v>
      </c>
      <c r="FO7" s="4" t="s">
        <v>131</v>
      </c>
      <c r="FP7" s="4"/>
      <c r="FQ7" s="4"/>
      <c r="FR7" s="4" t="s">
        <v>129</v>
      </c>
      <c r="FS7" s="4" t="s">
        <v>130</v>
      </c>
      <c r="FT7" s="4" t="s">
        <v>131</v>
      </c>
      <c r="FU7" s="4"/>
      <c r="FV7" s="4"/>
      <c r="FW7" s="4" t="s">
        <v>129</v>
      </c>
      <c r="FX7" s="4" t="s">
        <v>130</v>
      </c>
      <c r="FY7" s="4" t="s">
        <v>131</v>
      </c>
      <c r="FZ7" s="4"/>
      <c r="GA7" s="4"/>
      <c r="GB7" s="4" t="s">
        <v>129</v>
      </c>
      <c r="GC7" s="4" t="s">
        <v>130</v>
      </c>
      <c r="GD7" s="4" t="s">
        <v>131</v>
      </c>
      <c r="GE7" s="4"/>
      <c r="GF7" s="4"/>
      <c r="GG7" s="4" t="s">
        <v>129</v>
      </c>
      <c r="GH7" s="4" t="s">
        <v>130</v>
      </c>
      <c r="GI7" s="4" t="s">
        <v>131</v>
      </c>
      <c r="GJ7" s="4"/>
      <c r="GK7" s="4"/>
      <c r="GL7" s="4" t="s">
        <v>129</v>
      </c>
      <c r="GM7" s="4" t="s">
        <v>130</v>
      </c>
      <c r="GN7" s="4" t="s">
        <v>131</v>
      </c>
      <c r="GO7" s="4"/>
      <c r="GP7" s="4"/>
      <c r="GQ7" s="4"/>
      <c r="GR7" s="4"/>
      <c r="GS7" s="4"/>
      <c r="GT7" s="4"/>
      <c r="GU7" s="4"/>
      <c r="GV7" s="4"/>
      <c r="GW7" s="4"/>
      <c r="GX7" s="4"/>
      <c r="GY7" s="4" t="s">
        <v>132</v>
      </c>
      <c r="GZ7" s="4" t="s">
        <v>133</v>
      </c>
      <c r="HA7" s="4" t="s">
        <v>160</v>
      </c>
      <c r="HB7" s="4" t="s">
        <v>161</v>
      </c>
      <c r="HC7" s="4" t="s">
        <v>162</v>
      </c>
      <c r="HD7" s="4"/>
      <c r="HE7" s="4"/>
      <c r="HF7" s="4"/>
      <c r="HG7" s="4"/>
      <c r="HH7" s="4" t="s">
        <v>132</v>
      </c>
      <c r="HI7" s="4" t="s">
        <v>133</v>
      </c>
      <c r="HJ7" s="4" t="s">
        <v>163</v>
      </c>
      <c r="HK7" s="4" t="s">
        <v>164</v>
      </c>
      <c r="HL7" s="4"/>
      <c r="HM7" s="4"/>
      <c r="HN7" s="4"/>
      <c r="HO7" s="4"/>
      <c r="HP7" s="4" t="s">
        <v>132</v>
      </c>
      <c r="HQ7" s="4" t="s">
        <v>133</v>
      </c>
      <c r="HR7" s="4"/>
      <c r="HS7" s="4"/>
      <c r="HT7" s="4"/>
      <c r="HU7" s="4"/>
      <c r="HV7" s="4" t="s">
        <v>132</v>
      </c>
      <c r="HW7" s="4" t="s">
        <v>133</v>
      </c>
      <c r="HX7" s="4"/>
      <c r="HY7" s="4"/>
      <c r="HZ7" s="4"/>
      <c r="IA7" s="4"/>
      <c r="IB7" s="4" t="s">
        <v>132</v>
      </c>
      <c r="IC7" s="4" t="s">
        <v>133</v>
      </c>
      <c r="ID7" s="4"/>
      <c r="IE7" s="4"/>
      <c r="IF7" s="4"/>
      <c r="IG7" s="4"/>
      <c r="IH7" s="4" t="s">
        <v>132</v>
      </c>
      <c r="II7" s="4" t="s">
        <v>133</v>
      </c>
      <c r="IJ7" s="4"/>
      <c r="IK7" s="4"/>
      <c r="IL7" s="4"/>
      <c r="IM7" s="4"/>
      <c r="IN7" s="4" t="s">
        <v>132</v>
      </c>
      <c r="IO7" s="4" t="s">
        <v>133</v>
      </c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</row>
    <row r="8" ht="14.3" customHeight="1" spans="1:29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 t="s">
        <v>183</v>
      </c>
      <c r="T8" s="4" t="s">
        <v>160</v>
      </c>
      <c r="U8" s="4" t="s">
        <v>161</v>
      </c>
      <c r="V8" s="4" t="s">
        <v>162</v>
      </c>
      <c r="W8" s="4"/>
      <c r="X8" s="4"/>
      <c r="Y8" s="4"/>
      <c r="Z8" s="4"/>
      <c r="AA8" s="4" t="s">
        <v>183</v>
      </c>
      <c r="AB8" s="4" t="s">
        <v>160</v>
      </c>
      <c r="AC8" s="4" t="s">
        <v>161</v>
      </c>
      <c r="AD8" s="4" t="s">
        <v>162</v>
      </c>
      <c r="AE8" s="4"/>
      <c r="AF8" s="4"/>
      <c r="AG8" s="4"/>
      <c r="AH8" s="4"/>
      <c r="AI8" s="4" t="s">
        <v>183</v>
      </c>
      <c r="AJ8" s="4" t="s">
        <v>163</v>
      </c>
      <c r="AK8" s="4" t="s">
        <v>164</v>
      </c>
      <c r="AL8" s="4"/>
      <c r="AM8" s="4"/>
      <c r="AN8" s="4"/>
      <c r="AO8" s="4"/>
      <c r="AP8" s="4" t="s">
        <v>183</v>
      </c>
      <c r="AQ8" s="4" t="s">
        <v>163</v>
      </c>
      <c r="AR8" s="4" t="s">
        <v>164</v>
      </c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 t="s">
        <v>183</v>
      </c>
      <c r="FD8" s="4" t="s">
        <v>160</v>
      </c>
      <c r="FE8" s="4" t="s">
        <v>161</v>
      </c>
      <c r="FF8" s="4" t="s">
        <v>162</v>
      </c>
      <c r="FG8" s="4"/>
      <c r="FH8" s="4"/>
      <c r="FI8" s="4"/>
      <c r="FJ8" s="4"/>
      <c r="FK8" s="4" t="s">
        <v>183</v>
      </c>
      <c r="FL8" s="4" t="s">
        <v>163</v>
      </c>
      <c r="FM8" s="4" t="s">
        <v>164</v>
      </c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</row>
    <row r="9" s="1" customFormat="1" ht="14.3" customHeight="1" spans="1:292">
      <c r="A9" s="5" t="s">
        <v>43</v>
      </c>
      <c r="B9" s="5" t="s">
        <v>43</v>
      </c>
      <c r="C9" s="5" t="s">
        <v>43</v>
      </c>
      <c r="D9" s="5" t="s">
        <v>43</v>
      </c>
      <c r="E9" s="5" t="s">
        <v>43</v>
      </c>
      <c r="F9" s="6">
        <v>5217909</v>
      </c>
      <c r="G9" s="6">
        <v>4144075</v>
      </c>
      <c r="H9" s="6">
        <v>423029</v>
      </c>
      <c r="I9" s="6">
        <v>650805</v>
      </c>
      <c r="J9" s="6">
        <v>3118142</v>
      </c>
      <c r="K9" s="6">
        <v>2688007</v>
      </c>
      <c r="L9" s="6">
        <v>430135</v>
      </c>
      <c r="M9" s="6">
        <v>1022239</v>
      </c>
      <c r="N9" s="6">
        <v>3298929</v>
      </c>
      <c r="O9" s="6">
        <v>95696</v>
      </c>
      <c r="P9" s="6">
        <v>674092</v>
      </c>
      <c r="Q9" s="6">
        <v>0</v>
      </c>
      <c r="R9" s="6">
        <v>4946841</v>
      </c>
      <c r="S9" s="6">
        <v>4642695</v>
      </c>
      <c r="T9" s="6">
        <v>3743750</v>
      </c>
      <c r="U9" s="6">
        <v>345770</v>
      </c>
      <c r="V9" s="6">
        <v>553175</v>
      </c>
      <c r="W9" s="6">
        <v>101738</v>
      </c>
      <c r="X9" s="6">
        <v>202408</v>
      </c>
      <c r="Y9" s="6">
        <v>450120</v>
      </c>
      <c r="Z9" s="6">
        <v>3553828</v>
      </c>
      <c r="AA9" s="6">
        <v>3374017</v>
      </c>
      <c r="AB9" s="6">
        <v>2869611</v>
      </c>
      <c r="AC9" s="6">
        <v>18846</v>
      </c>
      <c r="AD9" s="6">
        <v>485560</v>
      </c>
      <c r="AE9" s="6">
        <v>56109</v>
      </c>
      <c r="AF9" s="6">
        <v>123702</v>
      </c>
      <c r="AG9" s="6">
        <v>280523</v>
      </c>
      <c r="AH9" s="6">
        <v>3007741</v>
      </c>
      <c r="AI9" s="6">
        <v>2806404</v>
      </c>
      <c r="AJ9" s="6">
        <v>2393621</v>
      </c>
      <c r="AK9" s="6">
        <v>412783</v>
      </c>
      <c r="AL9" s="6">
        <v>24112</v>
      </c>
      <c r="AM9" s="6">
        <v>177225</v>
      </c>
      <c r="AN9" s="6">
        <v>116184</v>
      </c>
      <c r="AO9" s="6">
        <v>1432649</v>
      </c>
      <c r="AP9" s="6">
        <v>1314543</v>
      </c>
      <c r="AQ9" s="6">
        <v>1306495</v>
      </c>
      <c r="AR9" s="6">
        <v>8048</v>
      </c>
      <c r="AS9" s="6">
        <v>17110</v>
      </c>
      <c r="AT9" s="6">
        <v>100996</v>
      </c>
      <c r="AU9" s="6">
        <v>93054</v>
      </c>
      <c r="AV9" s="6">
        <v>917482</v>
      </c>
      <c r="AW9" s="6">
        <v>878520</v>
      </c>
      <c r="AX9" s="6">
        <v>10117</v>
      </c>
      <c r="AY9" s="6">
        <v>28845</v>
      </c>
      <c r="AZ9" s="6">
        <v>200</v>
      </c>
      <c r="BA9" s="6">
        <v>405428</v>
      </c>
      <c r="BB9" s="6">
        <v>378452</v>
      </c>
      <c r="BC9" s="6">
        <v>5730</v>
      </c>
      <c r="BD9" s="6">
        <v>21246</v>
      </c>
      <c r="BE9" s="6">
        <v>55</v>
      </c>
      <c r="BF9" s="6">
        <v>3153770</v>
      </c>
      <c r="BG9" s="6">
        <v>3113139</v>
      </c>
      <c r="BH9" s="6">
        <v>17142</v>
      </c>
      <c r="BI9" s="6">
        <v>23489</v>
      </c>
      <c r="BJ9" s="6">
        <v>130551</v>
      </c>
      <c r="BK9" s="6">
        <v>95425</v>
      </c>
      <c r="BL9" s="6">
        <v>84057</v>
      </c>
      <c r="BM9" s="6">
        <v>2095</v>
      </c>
      <c r="BN9" s="6">
        <v>9273</v>
      </c>
      <c r="BO9" s="6">
        <v>1832</v>
      </c>
      <c r="BP9" s="6">
        <v>638536</v>
      </c>
      <c r="BQ9" s="6">
        <v>578336</v>
      </c>
      <c r="BR9" s="6">
        <v>15325</v>
      </c>
      <c r="BS9" s="6">
        <v>44875</v>
      </c>
      <c r="BT9" s="6">
        <v>2266</v>
      </c>
      <c r="BU9" s="6">
        <v>13516</v>
      </c>
      <c r="BV9" s="6">
        <v>0</v>
      </c>
      <c r="BW9" s="6">
        <v>13516</v>
      </c>
      <c r="BX9" s="6">
        <v>0</v>
      </c>
      <c r="BY9" s="6">
        <v>5</v>
      </c>
      <c r="BZ9" s="6">
        <v>94.8050454693633</v>
      </c>
      <c r="CA9" s="6">
        <v>-0.665486644246638</v>
      </c>
      <c r="CB9" s="6">
        <v>-0.779296840937627</v>
      </c>
      <c r="CC9" s="6">
        <v>1.94978486593001</v>
      </c>
      <c r="CD9" s="6">
        <v>3.87910176279425</v>
      </c>
      <c r="CE9" s="6">
        <v>90.3398225176909</v>
      </c>
      <c r="CF9" s="6">
        <v>81.7367130858641</v>
      </c>
      <c r="CG9" s="6">
        <v>84.998578683323</v>
      </c>
      <c r="CH9" s="6">
        <v>68.1082786227203</v>
      </c>
      <c r="CI9" s="6">
        <v>-0.118684562910187</v>
      </c>
      <c r="CJ9" s="6">
        <v>-0.858543144389823</v>
      </c>
      <c r="CK9" s="6">
        <v>1.07531580178957</v>
      </c>
      <c r="CL9" s="6">
        <v>2.37071976533129</v>
      </c>
      <c r="CM9" s="6">
        <v>69.2461164433559</v>
      </c>
      <c r="CN9" s="6">
        <v>4.45501372246347</v>
      </c>
      <c r="CO9" s="6">
        <v>74.6091379138144</v>
      </c>
      <c r="CP9" s="6">
        <v>96.4593979363352</v>
      </c>
      <c r="CQ9" s="6">
        <v>2.19022502952956</v>
      </c>
      <c r="CR9" s="6">
        <v>0.980936724498116</v>
      </c>
      <c r="CS9" s="6">
        <v>0.773281011576766</v>
      </c>
      <c r="CT9" s="6">
        <v>5.6836731617739</v>
      </c>
      <c r="CU9" s="6">
        <v>89.0481684013472</v>
      </c>
      <c r="CV9" s="6">
        <v>95.9659176770084</v>
      </c>
      <c r="CW9" s="6">
        <v>45.9455983723641</v>
      </c>
      <c r="CX9" s="6">
        <v>-0.577725843063293</v>
      </c>
      <c r="CY9" s="6">
        <v>-4.2046834300683</v>
      </c>
      <c r="CZ9" s="6">
        <v>0.548724208198344</v>
      </c>
      <c r="DA9" s="6">
        <v>3.2389801362478</v>
      </c>
      <c r="DB9" s="6">
        <v>48.6045981279067</v>
      </c>
      <c r="DC9" s="6">
        <v>1.87104048728887</v>
      </c>
      <c r="DD9" s="6">
        <v>89.7522008062694</v>
      </c>
      <c r="DE9" s="6">
        <v>-5.65121566098032</v>
      </c>
      <c r="DF9" s="6">
        <v>-2.28654942728657</v>
      </c>
      <c r="DG9" s="6">
        <v>0.989690277909569</v>
      </c>
      <c r="DH9" s="6">
        <v>2.82174716480197</v>
      </c>
      <c r="DI9" s="6">
        <v>44.1892048018381</v>
      </c>
      <c r="DJ9" s="6">
        <v>1.12185063332337</v>
      </c>
      <c r="DK9" s="6">
        <v>0.405990367323122</v>
      </c>
      <c r="DL9" s="6">
        <v>0.624535413228815</v>
      </c>
      <c r="DM9" s="6">
        <v>2.31568575732276</v>
      </c>
      <c r="DN9" s="6">
        <v>95.5998143639951</v>
      </c>
      <c r="DO9" s="6">
        <v>0.36737008804002</v>
      </c>
      <c r="DP9" s="6">
        <v>-0.469243199838487</v>
      </c>
      <c r="DQ9" s="6">
        <v>0.519623186797897</v>
      </c>
      <c r="DR9" s="6">
        <v>0.712018961305321</v>
      </c>
      <c r="DS9" s="6">
        <v>99.7168115699716</v>
      </c>
      <c r="DT9" s="6">
        <v>1.34118970526026</v>
      </c>
      <c r="DU9" s="6">
        <v>-0.249749205818428</v>
      </c>
      <c r="DV9" s="6">
        <v>2.18922420999833</v>
      </c>
      <c r="DW9" s="6">
        <v>9.69006019060358</v>
      </c>
      <c r="DX9" s="6">
        <v>94.7253490621458</v>
      </c>
      <c r="DY9" s="6">
        <v>-5.75430308386098</v>
      </c>
      <c r="DZ9" s="6">
        <v>-0.680619262652571</v>
      </c>
      <c r="EA9" s="6">
        <v>2.27342855277915</v>
      </c>
      <c r="EB9" s="6">
        <v>6.65710318472849</v>
      </c>
      <c r="EC9" s="6" t="e">
        <v>#DIV/0!</v>
      </c>
      <c r="ED9" s="6" t="e">
        <v>#NUM!</v>
      </c>
      <c r="EE9" s="6" t="e">
        <v>#NUM!</v>
      </c>
      <c r="EF9" s="6" t="e">
        <v>#DIV/0!</v>
      </c>
      <c r="EG9" s="6">
        <v>0</v>
      </c>
      <c r="EH9" s="6">
        <v>3483609757.87493</v>
      </c>
      <c r="EI9" s="6">
        <v>2597137358.90914</v>
      </c>
      <c r="EJ9" s="6">
        <v>504698107.971745</v>
      </c>
      <c r="EK9" s="6">
        <v>192053941.525146</v>
      </c>
      <c r="EL9" s="6">
        <v>189720349.468901</v>
      </c>
      <c r="EM9" s="6">
        <v>1087888488.35934</v>
      </c>
      <c r="EN9" s="6">
        <v>1029790183.68472</v>
      </c>
      <c r="EO9" s="6">
        <v>31626338.887175</v>
      </c>
      <c r="EP9" s="6">
        <v>26471965.78744</v>
      </c>
      <c r="EQ9" s="6">
        <v>85889909.797684</v>
      </c>
      <c r="ER9" s="6">
        <v>1363192146.89252</v>
      </c>
      <c r="ES9" s="6">
        <v>2555279564.51697</v>
      </c>
      <c r="ET9" s="6">
        <v>2717914877.50447</v>
      </c>
      <c r="EU9" s="6">
        <v>1531762769.84514</v>
      </c>
      <c r="EV9" s="6">
        <v>6020580302.92447</v>
      </c>
      <c r="EW9" s="6">
        <v>5273194442.02143</v>
      </c>
      <c r="EX9" s="6">
        <v>1531762769.84514</v>
      </c>
      <c r="EY9" s="6">
        <v>8827393166.71105</v>
      </c>
      <c r="EZ9" s="6">
        <v>3998144727.89</v>
      </c>
      <c r="FA9" s="6">
        <v>-379.81</v>
      </c>
      <c r="FB9" s="6">
        <v>2388490741.16</v>
      </c>
      <c r="FC9" s="6">
        <v>2231697872.71</v>
      </c>
      <c r="FD9" s="6">
        <v>1743196941.6</v>
      </c>
      <c r="FE9" s="6">
        <v>328996539.92</v>
      </c>
      <c r="FF9" s="6">
        <v>159504391.19</v>
      </c>
      <c r="FG9" s="6">
        <v>105661281.38</v>
      </c>
      <c r="FH9" s="6">
        <v>51131587.07</v>
      </c>
      <c r="FI9" s="6">
        <v>872534541.1</v>
      </c>
      <c r="FJ9" s="6">
        <v>736977341.96</v>
      </c>
      <c r="FK9" s="6">
        <v>701345932.11</v>
      </c>
      <c r="FL9" s="6">
        <v>682798672</v>
      </c>
      <c r="FM9" s="6">
        <v>18547260.11</v>
      </c>
      <c r="FN9" s="6">
        <v>13327565.04</v>
      </c>
      <c r="FO9" s="6">
        <v>22303844.81</v>
      </c>
      <c r="FP9" s="6">
        <v>202906683.56</v>
      </c>
      <c r="FQ9" s="6">
        <v>55593721.26</v>
      </c>
      <c r="FR9" s="6">
        <v>53325485.22</v>
      </c>
      <c r="FS9" s="6">
        <v>1107345.3</v>
      </c>
      <c r="FT9" s="6">
        <v>1160890.74</v>
      </c>
      <c r="FU9" s="6">
        <v>3213291.62</v>
      </c>
      <c r="FV9" s="6">
        <v>848168652.1</v>
      </c>
      <c r="FW9" s="6">
        <v>837332913.27</v>
      </c>
      <c r="FX9" s="6">
        <v>4038415.45</v>
      </c>
      <c r="FY9" s="6">
        <v>6797323.38</v>
      </c>
      <c r="FZ9" s="6">
        <v>262170413.93</v>
      </c>
      <c r="GA9" s="6">
        <v>1707593008.43</v>
      </c>
      <c r="GB9" s="6">
        <v>1594558472.18</v>
      </c>
      <c r="GC9" s="6">
        <v>76326482.34</v>
      </c>
      <c r="GD9" s="6">
        <v>36708053.91</v>
      </c>
      <c r="GE9" s="6">
        <v>596269604.58</v>
      </c>
      <c r="GF9" s="6">
        <v>1813585265.96</v>
      </c>
      <c r="GG9" s="6">
        <v>1681860974.52</v>
      </c>
      <c r="GH9" s="6">
        <v>37661341.96</v>
      </c>
      <c r="GI9" s="6">
        <v>94062949.48</v>
      </c>
      <c r="GJ9" s="6">
        <v>600926763.54</v>
      </c>
      <c r="GK9" s="6">
        <v>1012913971.37</v>
      </c>
      <c r="GL9" s="6">
        <v>0</v>
      </c>
      <c r="GM9" s="6">
        <v>941952861.86</v>
      </c>
      <c r="GN9" s="6">
        <v>70961109.51</v>
      </c>
      <c r="GO9" s="6">
        <v>648505584.75</v>
      </c>
      <c r="GP9" s="6">
        <v>4029230456.48</v>
      </c>
      <c r="GQ9" s="6">
        <v>3521178274.39</v>
      </c>
      <c r="GR9" s="6">
        <v>1012913971.37</v>
      </c>
      <c r="GS9" s="6">
        <v>5847620193.94</v>
      </c>
      <c r="GT9" s="6">
        <v>2715702840.63</v>
      </c>
      <c r="GU9" s="6">
        <v>-332.33</v>
      </c>
      <c r="GV9" s="6">
        <v>102.845506837871</v>
      </c>
      <c r="GW9" s="6">
        <v>0.310790687936757</v>
      </c>
      <c r="GX9" s="6">
        <v>-0.213639641475871</v>
      </c>
      <c r="GY9" s="6">
        <v>4.54964628893115</v>
      </c>
      <c r="GZ9" s="6">
        <v>2.20166396168861</v>
      </c>
      <c r="HA9" s="6">
        <v>100.679904489083</v>
      </c>
      <c r="HB9" s="6">
        <v>97.7801981194722</v>
      </c>
      <c r="HC9" s="6">
        <v>124.57780605022</v>
      </c>
      <c r="HD9" s="6">
        <v>37.5702763115578</v>
      </c>
      <c r="HE9" s="6">
        <v>101.615746905013</v>
      </c>
      <c r="HF9" s="6">
        <v>1.62201524722688</v>
      </c>
      <c r="HG9" s="6">
        <v>-0.809647375229794</v>
      </c>
      <c r="HH9" s="6">
        <v>1.83762837587787</v>
      </c>
      <c r="HI9" s="6">
        <v>3.07529379830604</v>
      </c>
      <c r="HJ9" s="6">
        <v>99.4569597017607</v>
      </c>
      <c r="HK9" s="6">
        <v>87.9674699757354</v>
      </c>
      <c r="HL9" s="6">
        <v>27.977134476256</v>
      </c>
      <c r="HM9" s="6">
        <v>97.0900797153342</v>
      </c>
      <c r="HN9" s="6">
        <v>-1.17962624485022</v>
      </c>
      <c r="HO9" s="6">
        <v>-1.01849415380755</v>
      </c>
      <c r="HP9" s="6">
        <v>1.93389183189571</v>
      </c>
      <c r="HQ9" s="6">
        <v>2.02740474882529</v>
      </c>
      <c r="HR9" s="6">
        <v>5.6117621282331</v>
      </c>
      <c r="HS9" s="6">
        <v>93.3289544727922</v>
      </c>
      <c r="HT9" s="6">
        <v>-1.07006398306168</v>
      </c>
      <c r="HU9" s="6">
        <v>-0.720929425066408</v>
      </c>
      <c r="HV9" s="6">
        <v>0.444370457151526</v>
      </c>
      <c r="HW9" s="6">
        <v>0.747949222950144</v>
      </c>
      <c r="HX9" s="6">
        <v>28.8481430729666</v>
      </c>
      <c r="HY9" s="6">
        <v>100.239110749872</v>
      </c>
      <c r="HZ9" s="6">
        <v>-0.333526073792378</v>
      </c>
      <c r="IA9" s="6">
        <v>-0.498113571838932</v>
      </c>
      <c r="IB9" s="6">
        <v>4.48051653916163</v>
      </c>
      <c r="IC9" s="6">
        <v>2.15483587900131</v>
      </c>
      <c r="ID9" s="6">
        <v>35.0022134286145</v>
      </c>
      <c r="IE9" s="6">
        <v>100.090621728293</v>
      </c>
      <c r="IF9" s="6">
        <v>-0.374393012053065</v>
      </c>
      <c r="IG9" s="6">
        <v>-0.672554529204228</v>
      </c>
      <c r="IH9" s="6">
        <v>2.07850560028833</v>
      </c>
      <c r="II9" s="6">
        <v>5.19127458287251</v>
      </c>
      <c r="IJ9" s="6">
        <v>33.1647673284616</v>
      </c>
      <c r="IK9" s="6">
        <v>99.1910096632393</v>
      </c>
      <c r="IL9" s="6">
        <v>-5.22694827443102</v>
      </c>
      <c r="IM9" s="6">
        <v>-1.83737807682767</v>
      </c>
      <c r="IN9" s="6">
        <v>92.2420443038214</v>
      </c>
      <c r="IO9" s="6">
        <v>6.94896535941795</v>
      </c>
      <c r="IP9" s="6">
        <v>63.5058114921635</v>
      </c>
      <c r="IQ9" s="6">
        <v>100.386430885811</v>
      </c>
      <c r="IR9" s="6">
        <v>0.294287502998158</v>
      </c>
      <c r="IS9" s="6">
        <v>-0.44767892212354</v>
      </c>
      <c r="IT9" s="6">
        <v>100.162576397624</v>
      </c>
      <c r="IU9" s="6">
        <v>-0.355217449571321</v>
      </c>
      <c r="IV9" s="6">
        <v>-0.588024095428019</v>
      </c>
      <c r="IW9" s="6">
        <v>99.1910096632393</v>
      </c>
      <c r="IX9" s="6">
        <v>-5.22694827443102</v>
      </c>
      <c r="IY9" s="6">
        <v>-1.83737807682767</v>
      </c>
      <c r="IZ9" s="6">
        <v>99.3660316840527</v>
      </c>
      <c r="JA9" s="6">
        <v>-0.753694032563179</v>
      </c>
      <c r="JB9" s="6">
        <v>-0.622505752532398</v>
      </c>
      <c r="JC9" s="6">
        <v>101.886113139651</v>
      </c>
      <c r="JD9" s="6">
        <v>-0.210207583516109</v>
      </c>
      <c r="JE9" s="6">
        <v>-0.779204665260136</v>
      </c>
      <c r="JF9" s="6">
        <v>131.24851899634</v>
      </c>
      <c r="JG9" s="6">
        <v>248.487533608357</v>
      </c>
      <c r="JH9" s="6">
        <v>9.41015620592252</v>
      </c>
      <c r="JI9" s="6">
        <v>511713059.40356</v>
      </c>
      <c r="JJ9" s="6">
        <v>440636883.627824</v>
      </c>
      <c r="JK9" s="6">
        <v>132205442.380677</v>
      </c>
      <c r="JL9" s="6">
        <v>749408818.160684</v>
      </c>
      <c r="JM9" s="6">
        <v>335146598.948199</v>
      </c>
      <c r="JN9" s="6">
        <v>-31.6968221664429</v>
      </c>
      <c r="JO9" s="6">
        <v>487931686.09</v>
      </c>
      <c r="JP9" s="6">
        <v>422069637.11</v>
      </c>
      <c r="JQ9" s="6">
        <v>110186216.77</v>
      </c>
      <c r="JR9" s="6">
        <v>698897756.59</v>
      </c>
      <c r="JS9" s="6">
        <v>337021049.95</v>
      </c>
      <c r="JT9" s="6">
        <v>-15731266.57</v>
      </c>
      <c r="JU9" s="6">
        <v>-2.19273018542291</v>
      </c>
      <c r="JV9" s="6">
        <v>-0.743092741224828</v>
      </c>
      <c r="JW9" s="6">
        <v>-1.7119684958062</v>
      </c>
      <c r="JX9" s="6">
        <v>-0.045142860904979</v>
      </c>
      <c r="JY9" s="6">
        <v>-2.03025367877465</v>
      </c>
      <c r="JZ9" s="6">
        <v>-0.515528854923595</v>
      </c>
      <c r="KA9" s="6">
        <v>-4.65730586469709</v>
      </c>
      <c r="KB9" s="6">
        <v>-1.70173825757842</v>
      </c>
      <c r="KC9" s="6">
        <v>0.172831284322916</v>
      </c>
      <c r="KD9" s="6">
        <v>0.397974708217519</v>
      </c>
      <c r="KE9" s="6">
        <v>-1.45047777962957</v>
      </c>
      <c r="KF9" s="6">
        <v>-9.0769249463612e-7</v>
      </c>
    </row>
    <row r="10" s="1" customFormat="1" ht="14.55" customHeight="1" spans="1:292">
      <c r="A10" s="5" t="s">
        <v>45</v>
      </c>
      <c r="B10" s="5" t="s">
        <v>97</v>
      </c>
      <c r="C10" s="5" t="s">
        <v>97</v>
      </c>
      <c r="D10" s="5" t="s">
        <v>97</v>
      </c>
      <c r="E10" s="5" t="s">
        <v>138</v>
      </c>
      <c r="F10" s="6">
        <v>934274</v>
      </c>
      <c r="G10" s="6">
        <v>810138</v>
      </c>
      <c r="H10" s="6">
        <v>101954</v>
      </c>
      <c r="I10" s="6">
        <v>22182</v>
      </c>
      <c r="J10" s="6">
        <v>462921</v>
      </c>
      <c r="K10" s="6">
        <v>428282</v>
      </c>
      <c r="L10" s="6">
        <v>34639</v>
      </c>
      <c r="M10" s="6">
        <v>116323</v>
      </c>
      <c r="N10" s="6">
        <v>669746</v>
      </c>
      <c r="O10" s="6">
        <v>20714</v>
      </c>
      <c r="P10" s="6">
        <v>83618</v>
      </c>
      <c r="Q10" s="6">
        <v>0</v>
      </c>
      <c r="R10" s="6">
        <v>898600</v>
      </c>
      <c r="S10" s="6">
        <v>834042</v>
      </c>
      <c r="T10" s="6">
        <v>731594</v>
      </c>
      <c r="U10" s="6">
        <v>82680</v>
      </c>
      <c r="V10" s="6">
        <v>19768</v>
      </c>
      <c r="W10" s="6">
        <v>22184</v>
      </c>
      <c r="X10" s="6">
        <v>42374</v>
      </c>
      <c r="Y10" s="6">
        <v>132223</v>
      </c>
      <c r="Z10" s="6">
        <v>605160</v>
      </c>
      <c r="AA10" s="6">
        <v>566603</v>
      </c>
      <c r="AB10" s="6">
        <v>545543</v>
      </c>
      <c r="AC10" s="6">
        <v>4988</v>
      </c>
      <c r="AD10" s="6">
        <v>16072</v>
      </c>
      <c r="AE10" s="6">
        <v>13060</v>
      </c>
      <c r="AF10" s="6">
        <v>25497</v>
      </c>
      <c r="AG10" s="6">
        <v>78875</v>
      </c>
      <c r="AH10" s="6">
        <v>439823</v>
      </c>
      <c r="AI10" s="6">
        <v>424300</v>
      </c>
      <c r="AJ10" s="6">
        <v>390844</v>
      </c>
      <c r="AK10" s="6">
        <v>33456</v>
      </c>
      <c r="AL10" s="6">
        <v>1392</v>
      </c>
      <c r="AM10" s="6">
        <v>14131</v>
      </c>
      <c r="AN10" s="6">
        <v>36151</v>
      </c>
      <c r="AO10" s="6">
        <v>188809</v>
      </c>
      <c r="AP10" s="6">
        <v>177933</v>
      </c>
      <c r="AQ10" s="6">
        <v>175403</v>
      </c>
      <c r="AR10" s="6">
        <v>2530</v>
      </c>
      <c r="AS10" s="6">
        <v>1075</v>
      </c>
      <c r="AT10" s="6">
        <v>9801</v>
      </c>
      <c r="AU10" s="6">
        <v>29214</v>
      </c>
      <c r="AV10" s="6">
        <v>99448</v>
      </c>
      <c r="AW10" s="6">
        <v>97356</v>
      </c>
      <c r="AX10" s="6">
        <v>266</v>
      </c>
      <c r="AY10" s="6">
        <v>1826</v>
      </c>
      <c r="AZ10" s="6">
        <v>28</v>
      </c>
      <c r="BA10" s="6">
        <v>23800</v>
      </c>
      <c r="BB10" s="6">
        <v>22618</v>
      </c>
      <c r="BC10" s="6">
        <v>53</v>
      </c>
      <c r="BD10" s="6">
        <v>1129</v>
      </c>
      <c r="BE10" s="6">
        <v>7</v>
      </c>
      <c r="BF10" s="6">
        <v>629304</v>
      </c>
      <c r="BG10" s="6">
        <v>623179</v>
      </c>
      <c r="BH10" s="6">
        <v>1941</v>
      </c>
      <c r="BI10" s="6">
        <v>4184</v>
      </c>
      <c r="BJ10" s="6">
        <v>33433</v>
      </c>
      <c r="BK10" s="6">
        <v>20438</v>
      </c>
      <c r="BL10" s="6">
        <v>17968</v>
      </c>
      <c r="BM10" s="6">
        <v>718</v>
      </c>
      <c r="BN10" s="6">
        <v>1752</v>
      </c>
      <c r="BO10" s="6">
        <v>844</v>
      </c>
      <c r="BP10" s="6">
        <v>81095</v>
      </c>
      <c r="BQ10" s="6">
        <v>73581</v>
      </c>
      <c r="BR10" s="6">
        <v>535</v>
      </c>
      <c r="BS10" s="6">
        <v>6979</v>
      </c>
      <c r="BT10" s="6">
        <v>836</v>
      </c>
      <c r="BU10" s="6">
        <v>3580</v>
      </c>
      <c r="BV10" s="6">
        <v>0</v>
      </c>
      <c r="BW10" s="6">
        <v>3580</v>
      </c>
      <c r="BX10" s="6">
        <v>0</v>
      </c>
      <c r="BY10" s="6">
        <v>2</v>
      </c>
      <c r="BZ10" s="6">
        <v>96.1816340816506</v>
      </c>
      <c r="CA10" s="6">
        <v>-0.127680317526979</v>
      </c>
      <c r="CB10" s="6">
        <v>-0.62101696076311</v>
      </c>
      <c r="CC10" s="6">
        <v>2.37446402233178</v>
      </c>
      <c r="CD10" s="6">
        <v>4.5355002922055</v>
      </c>
      <c r="CE10" s="6">
        <v>90.3048616408562</v>
      </c>
      <c r="CF10" s="6">
        <v>81.0953959628852</v>
      </c>
      <c r="CG10" s="6">
        <v>89.1173023171941</v>
      </c>
      <c r="CH10" s="6">
        <v>64.7732892063784</v>
      </c>
      <c r="CI10" s="6">
        <v>0.0865299350470417</v>
      </c>
      <c r="CJ10" s="6">
        <v>-0.60624613336131</v>
      </c>
      <c r="CK10" s="6">
        <v>1.39787685411346</v>
      </c>
      <c r="CL10" s="6">
        <v>2.72907091495643</v>
      </c>
      <c r="CM10" s="6">
        <v>67.3395149962105</v>
      </c>
      <c r="CN10" s="6">
        <v>4.89240245600957</v>
      </c>
      <c r="CO10" s="6">
        <v>72.4551438102966</v>
      </c>
      <c r="CP10" s="6">
        <v>95.0103797408197</v>
      </c>
      <c r="CQ10" s="6">
        <v>4.05234049129282</v>
      </c>
      <c r="CR10" s="6">
        <v>-0.859541908878625</v>
      </c>
      <c r="CS10" s="6">
        <v>0.300699255380508</v>
      </c>
      <c r="CT10" s="6">
        <v>3.05257268518819</v>
      </c>
      <c r="CU10" s="6">
        <v>91.2585632830705</v>
      </c>
      <c r="CV10" s="6">
        <v>96.5847743872514</v>
      </c>
      <c r="CW10" s="6">
        <v>40.7864408830016</v>
      </c>
      <c r="CX10" s="6">
        <v>-2.16829111525644</v>
      </c>
      <c r="CY10" s="6">
        <v>-0.992177931007665</v>
      </c>
      <c r="CZ10" s="6">
        <v>0.232221048515837</v>
      </c>
      <c r="DA10" s="6">
        <v>2.11720790372439</v>
      </c>
      <c r="DB10" s="6">
        <v>40.9550249601898</v>
      </c>
      <c r="DC10" s="6">
        <v>7.30390600190537</v>
      </c>
      <c r="DD10" s="6">
        <v>85.4929807518719</v>
      </c>
      <c r="DE10" s="6">
        <v>-7.47891602429775</v>
      </c>
      <c r="DF10" s="6">
        <v>-3.59516174789165</v>
      </c>
      <c r="DG10" s="6">
        <v>0.228673607111233</v>
      </c>
      <c r="DH10" s="6">
        <v>1.56976694204929</v>
      </c>
      <c r="DI10" s="6">
        <v>23.9321052208189</v>
      </c>
      <c r="DJ10" s="6">
        <v>0.34218000749569</v>
      </c>
      <c r="DK10" s="6">
        <v>0.147486867060356</v>
      </c>
      <c r="DL10" s="6">
        <v>0.053294183895101</v>
      </c>
      <c r="DM10" s="6">
        <v>1.1352666720296</v>
      </c>
      <c r="DN10" s="6">
        <v>93.9615914092805</v>
      </c>
      <c r="DO10" s="6">
        <v>0.0450441289024606</v>
      </c>
      <c r="DP10" s="6">
        <v>-0.735801333639918</v>
      </c>
      <c r="DQ10" s="6">
        <v>0.289811361322053</v>
      </c>
      <c r="DR10" s="6">
        <v>0.624714443983241</v>
      </c>
      <c r="DS10" s="6">
        <v>98.6675678285218</v>
      </c>
      <c r="DT10" s="6">
        <v>0.443749981670249</v>
      </c>
      <c r="DU10" s="6">
        <v>-0.970358211837408</v>
      </c>
      <c r="DV10" s="6">
        <v>3.46625470696148</v>
      </c>
      <c r="DW10" s="6">
        <v>8.45804769720962</v>
      </c>
      <c r="DX10" s="6">
        <v>96.9827070726399</v>
      </c>
      <c r="DY10" s="6">
        <v>-2.59092903402178</v>
      </c>
      <c r="DZ10" s="6">
        <v>2.97304408141787</v>
      </c>
      <c r="EA10" s="6">
        <v>0.639814394029994</v>
      </c>
      <c r="EB10" s="6">
        <v>8.34628907651463</v>
      </c>
      <c r="EC10" s="6" t="e">
        <v>#DIV/0!</v>
      </c>
      <c r="ED10" s="6" t="e">
        <v>#NUM!</v>
      </c>
      <c r="EE10" s="6" t="e">
        <v>#NUM!</v>
      </c>
      <c r="EF10" s="6" t="e">
        <v>#DIV/0!</v>
      </c>
      <c r="EG10" s="6">
        <v>0</v>
      </c>
      <c r="EH10" s="6">
        <v>804621749.819232</v>
      </c>
      <c r="EI10" s="6">
        <v>596512656.947973</v>
      </c>
      <c r="EJ10" s="6">
        <v>153302940.402913</v>
      </c>
      <c r="EK10" s="6">
        <v>7406433.841804</v>
      </c>
      <c r="EL10" s="6">
        <v>47399718.626542</v>
      </c>
      <c r="EM10" s="6">
        <v>237668387.354209</v>
      </c>
      <c r="EN10" s="6">
        <v>222690968.779436</v>
      </c>
      <c r="EO10" s="6">
        <v>10440205.485095</v>
      </c>
      <c r="EP10" s="6">
        <v>4537213.089678</v>
      </c>
      <c r="EQ10" s="6">
        <v>10200374.107825</v>
      </c>
      <c r="ER10" s="6">
        <v>327803077.373564</v>
      </c>
      <c r="ES10" s="6">
        <v>872590010.13256</v>
      </c>
      <c r="ET10" s="6">
        <v>1026784496.67167</v>
      </c>
      <c r="EU10" s="6">
        <v>475066253.40458</v>
      </c>
      <c r="EV10" s="6">
        <v>1380293588.65483</v>
      </c>
      <c r="EW10" s="6">
        <v>1899374506.80423</v>
      </c>
      <c r="EX10" s="6">
        <v>475066253.40458</v>
      </c>
      <c r="EY10" s="6">
        <v>2348809613.64364</v>
      </c>
      <c r="EZ10" s="6">
        <v>1405924735.22</v>
      </c>
      <c r="FA10" s="6">
        <v>0</v>
      </c>
      <c r="FB10" s="6">
        <v>545695659.08</v>
      </c>
      <c r="FC10" s="6">
        <v>509184096.26</v>
      </c>
      <c r="FD10" s="6">
        <v>403496905.15</v>
      </c>
      <c r="FE10" s="6">
        <v>100013347.46</v>
      </c>
      <c r="FF10" s="6">
        <v>5673843.65</v>
      </c>
      <c r="FG10" s="6">
        <v>24778496.46</v>
      </c>
      <c r="FH10" s="6">
        <v>11733066.36</v>
      </c>
      <c r="FI10" s="6">
        <v>273295664</v>
      </c>
      <c r="FJ10" s="6">
        <v>158835225.12</v>
      </c>
      <c r="FK10" s="6">
        <v>152432152.26</v>
      </c>
      <c r="FL10" s="6">
        <v>146419275.53</v>
      </c>
      <c r="FM10" s="6">
        <v>6012876.73</v>
      </c>
      <c r="FN10" s="6">
        <v>2436775.81</v>
      </c>
      <c r="FO10" s="6">
        <v>3966297.05</v>
      </c>
      <c r="FP10" s="6">
        <v>64588940.81</v>
      </c>
      <c r="FQ10" s="6">
        <v>6518036.82</v>
      </c>
      <c r="FR10" s="6">
        <v>6053994.95</v>
      </c>
      <c r="FS10" s="6">
        <v>386137.7</v>
      </c>
      <c r="FT10" s="6">
        <v>77904.17</v>
      </c>
      <c r="FU10" s="6">
        <v>61610.06</v>
      </c>
      <c r="FV10" s="6">
        <v>204339476.6</v>
      </c>
      <c r="FW10" s="6">
        <v>203059831.98</v>
      </c>
      <c r="FX10" s="6">
        <v>678303.17</v>
      </c>
      <c r="FY10" s="6">
        <v>601341.45</v>
      </c>
      <c r="FZ10" s="6">
        <v>56112426.14</v>
      </c>
      <c r="GA10" s="6">
        <v>585834499.15</v>
      </c>
      <c r="GB10" s="6">
        <v>561414597.38</v>
      </c>
      <c r="GC10" s="6">
        <v>16256901.62</v>
      </c>
      <c r="GD10" s="6">
        <v>8163000.15</v>
      </c>
      <c r="GE10" s="6">
        <v>325159577.66</v>
      </c>
      <c r="GF10" s="6">
        <v>715894493.63</v>
      </c>
      <c r="GG10" s="6">
        <v>677370583.02</v>
      </c>
      <c r="GH10" s="6">
        <v>5481375.25</v>
      </c>
      <c r="GI10" s="6">
        <v>33042535.36</v>
      </c>
      <c r="GJ10" s="6">
        <v>366553136.21</v>
      </c>
      <c r="GK10" s="6">
        <v>295348925.94</v>
      </c>
      <c r="GL10" s="6">
        <v>0</v>
      </c>
      <c r="GM10" s="6">
        <v>278846074.94</v>
      </c>
      <c r="GN10" s="6">
        <v>16502851</v>
      </c>
      <c r="GO10" s="6">
        <v>234495617.9</v>
      </c>
      <c r="GP10" s="6">
        <v>915388397.62</v>
      </c>
      <c r="GQ10" s="6">
        <v>1301728992.78</v>
      </c>
      <c r="GR10" s="6">
        <v>295348925.94</v>
      </c>
      <c r="GS10" s="6">
        <v>1547695852.7</v>
      </c>
      <c r="GT10" s="6">
        <v>964770463.64</v>
      </c>
      <c r="GU10" s="6">
        <v>0</v>
      </c>
      <c r="GV10" s="6">
        <v>101.730221536255</v>
      </c>
      <c r="GW10" s="6">
        <v>0.860206605650943</v>
      </c>
      <c r="GX10" s="6">
        <v>-0.115433637899025</v>
      </c>
      <c r="GY10" s="6">
        <v>4.61928163119505</v>
      </c>
      <c r="GZ10" s="6">
        <v>2.187313423227</v>
      </c>
      <c r="HA10" s="6">
        <v>101.463959008298</v>
      </c>
      <c r="HB10" s="6">
        <v>97.8585412619714</v>
      </c>
      <c r="HC10" s="6">
        <v>114.910436747073</v>
      </c>
      <c r="HD10" s="6">
        <v>50.9485974114046</v>
      </c>
      <c r="HE10" s="6">
        <v>100.245909997664</v>
      </c>
      <c r="HF10" s="6">
        <v>1.47294239220453</v>
      </c>
      <c r="HG10" s="6">
        <v>-0.664605578210929</v>
      </c>
      <c r="HH10" s="6">
        <v>1.53792591252472</v>
      </c>
      <c r="HI10" s="6">
        <v>2.50325490959521</v>
      </c>
      <c r="HJ10" s="6">
        <v>98.6249754531048</v>
      </c>
      <c r="HK10" s="6">
        <v>86.3902066666835</v>
      </c>
      <c r="HL10" s="6">
        <v>40.7641135169609</v>
      </c>
      <c r="HM10" s="6">
        <v>95.8499671350264</v>
      </c>
      <c r="HN10" s="6">
        <v>-3.82399876293383</v>
      </c>
      <c r="HO10" s="6">
        <v>-0.600427935945047</v>
      </c>
      <c r="HP10" s="6">
        <v>5.67828732434111</v>
      </c>
      <c r="HQ10" s="6">
        <v>1.14560754110338</v>
      </c>
      <c r="HR10" s="6">
        <v>0.905997064647911</v>
      </c>
      <c r="HS10" s="6">
        <v>93.5040687707463</v>
      </c>
      <c r="HT10" s="6">
        <v>-2.20443263007619</v>
      </c>
      <c r="HU10" s="6">
        <v>-0.407588905202105</v>
      </c>
      <c r="HV10" s="6">
        <v>0.310385968048893</v>
      </c>
      <c r="HW10" s="6">
        <v>0.275168916114862</v>
      </c>
      <c r="HX10" s="6">
        <v>25.6765860419552</v>
      </c>
      <c r="HY10" s="6">
        <v>100.706143609357</v>
      </c>
      <c r="HZ10" s="6">
        <v>-0.226050113409878</v>
      </c>
      <c r="IA10" s="6">
        <v>-0.341940656182308</v>
      </c>
      <c r="IB10" s="6">
        <v>2.79459449991818</v>
      </c>
      <c r="IC10" s="6">
        <v>1.40323635187387</v>
      </c>
      <c r="ID10" s="6">
        <v>55.8955936724401</v>
      </c>
      <c r="IE10" s="6">
        <v>104.582971784816</v>
      </c>
      <c r="IF10" s="6">
        <v>4.99459744850768</v>
      </c>
      <c r="IG10" s="6">
        <v>0.328956976319783</v>
      </c>
      <c r="IH10" s="6">
        <v>0.800758377405566</v>
      </c>
      <c r="II10" s="6">
        <v>4.82708915070896</v>
      </c>
      <c r="IJ10" s="6">
        <v>53.5486955731485</v>
      </c>
      <c r="IK10" s="6">
        <v>93.2550745785575</v>
      </c>
      <c r="IL10" s="6">
        <v>-11.2672640918809</v>
      </c>
      <c r="IM10" s="6">
        <v>-1.7586457603358</v>
      </c>
      <c r="IN10" s="6">
        <v>88.0443747398302</v>
      </c>
      <c r="IO10" s="6">
        <v>5.21069983872724</v>
      </c>
      <c r="IP10" s="6">
        <v>74.0409204672438</v>
      </c>
      <c r="IQ10" s="6">
        <v>99.4775754749497</v>
      </c>
      <c r="IR10" s="6">
        <v>0.241373629255274</v>
      </c>
      <c r="IS10" s="6">
        <v>-0.282961278618188</v>
      </c>
      <c r="IT10" s="6">
        <v>102.801921483895</v>
      </c>
      <c r="IU10" s="6">
        <v>2.60972769498737</v>
      </c>
      <c r="IV10" s="6">
        <v>0.0207404714411163</v>
      </c>
      <c r="IW10" s="6">
        <v>93.2550745785575</v>
      </c>
      <c r="IX10" s="6">
        <v>-11.2672640918809</v>
      </c>
      <c r="IY10" s="6">
        <v>-1.7586457603358</v>
      </c>
      <c r="IZ10" s="6">
        <v>98.8391637008269</v>
      </c>
      <c r="JA10" s="6">
        <v>-0.888166377170607</v>
      </c>
      <c r="JB10" s="6">
        <v>-0.527931636676082</v>
      </c>
      <c r="JC10" s="6">
        <v>102.932657716812</v>
      </c>
      <c r="JD10" s="6">
        <v>1.70374541237197</v>
      </c>
      <c r="JE10" s="6">
        <v>0.037955043969351</v>
      </c>
      <c r="JF10" s="6">
        <v>0</v>
      </c>
      <c r="JG10" s="6">
        <v>0</v>
      </c>
      <c r="JH10" s="6">
        <v>0</v>
      </c>
      <c r="JI10" s="6">
        <v>115896370.038101</v>
      </c>
      <c r="JJ10" s="6">
        <v>158759521.590603</v>
      </c>
      <c r="JK10" s="6">
        <v>41438339.963148</v>
      </c>
      <c r="JL10" s="6">
        <v>198498420.705776</v>
      </c>
      <c r="JM10" s="6">
        <v>117595810.843993</v>
      </c>
      <c r="JN10" s="6">
        <v>0.0420829951763153</v>
      </c>
      <c r="JO10" s="6">
        <v>112145494.71</v>
      </c>
      <c r="JP10" s="6">
        <v>162951485.75</v>
      </c>
      <c r="JQ10" s="6">
        <v>32039190.1</v>
      </c>
      <c r="JR10" s="6">
        <v>186228584.65</v>
      </c>
      <c r="JS10" s="6">
        <v>122188889.12</v>
      </c>
      <c r="JT10" s="6">
        <v>-1281303.21</v>
      </c>
      <c r="JU10" s="6">
        <v>-1.1866320081868</v>
      </c>
      <c r="JV10" s="6">
        <v>-0.465943439772338</v>
      </c>
      <c r="JW10" s="6">
        <v>1.32617546934857</v>
      </c>
      <c r="JX10" s="6">
        <v>1.25171613761236</v>
      </c>
      <c r="JY10" s="6">
        <v>-2.973527803976</v>
      </c>
      <c r="JZ10" s="6">
        <v>-1.42986608704837</v>
      </c>
      <c r="KA10" s="6">
        <v>-3.88170198297674</v>
      </c>
      <c r="KB10" s="6">
        <v>-1.59333471316843</v>
      </c>
      <c r="KC10" s="6">
        <v>1.45307247553245</v>
      </c>
      <c r="KD10" s="6">
        <v>0.949241337273536</v>
      </c>
      <c r="KE10" s="6">
        <v>-0.405354835369929</v>
      </c>
      <c r="KF10" s="6">
        <v>-1.33134334544434e-8</v>
      </c>
    </row>
    <row r="11" s="1" customFormat="1" ht="14.55" customHeight="1" spans="1:292">
      <c r="A11" s="5" t="s">
        <v>46</v>
      </c>
      <c r="B11" s="5" t="s">
        <v>97</v>
      </c>
      <c r="C11" s="5" t="s">
        <v>97</v>
      </c>
      <c r="D11" s="5" t="s">
        <v>97</v>
      </c>
      <c r="E11" s="5" t="s">
        <v>138</v>
      </c>
      <c r="F11" s="6">
        <v>1300643</v>
      </c>
      <c r="G11" s="6">
        <v>894326</v>
      </c>
      <c r="H11" s="6">
        <v>97882</v>
      </c>
      <c r="I11" s="6">
        <v>308435</v>
      </c>
      <c r="J11" s="6">
        <v>818325</v>
      </c>
      <c r="K11" s="6">
        <v>673900</v>
      </c>
      <c r="L11" s="6">
        <v>144425</v>
      </c>
      <c r="M11" s="6">
        <v>147585</v>
      </c>
      <c r="N11" s="6">
        <v>639480</v>
      </c>
      <c r="O11" s="6">
        <v>21933</v>
      </c>
      <c r="P11" s="6">
        <v>87928</v>
      </c>
      <c r="Q11" s="6">
        <v>0</v>
      </c>
      <c r="R11" s="6">
        <v>1220043</v>
      </c>
      <c r="S11" s="6">
        <v>1141303</v>
      </c>
      <c r="T11" s="6">
        <v>792284</v>
      </c>
      <c r="U11" s="6">
        <v>78704</v>
      </c>
      <c r="V11" s="6">
        <v>270315</v>
      </c>
      <c r="W11" s="6">
        <v>24617</v>
      </c>
      <c r="X11" s="6">
        <v>54123</v>
      </c>
      <c r="Y11" s="6">
        <v>92904</v>
      </c>
      <c r="Z11" s="6">
        <v>872488</v>
      </c>
      <c r="AA11" s="6">
        <v>825247</v>
      </c>
      <c r="AB11" s="6">
        <v>579556</v>
      </c>
      <c r="AC11" s="6">
        <v>4266</v>
      </c>
      <c r="AD11" s="6">
        <v>241425</v>
      </c>
      <c r="AE11" s="6">
        <v>13722</v>
      </c>
      <c r="AF11" s="6">
        <v>33519</v>
      </c>
      <c r="AG11" s="6">
        <v>55954</v>
      </c>
      <c r="AH11" s="6">
        <v>819126</v>
      </c>
      <c r="AI11" s="6">
        <v>750954</v>
      </c>
      <c r="AJ11" s="6">
        <v>611323</v>
      </c>
      <c r="AK11" s="6">
        <v>139631</v>
      </c>
      <c r="AL11" s="6">
        <v>3088</v>
      </c>
      <c r="AM11" s="6">
        <v>65084</v>
      </c>
      <c r="AN11" s="6">
        <v>28895</v>
      </c>
      <c r="AO11" s="6">
        <v>295953</v>
      </c>
      <c r="AP11" s="6">
        <v>269859</v>
      </c>
      <c r="AQ11" s="6">
        <v>269061</v>
      </c>
      <c r="AR11" s="6">
        <v>798</v>
      </c>
      <c r="AS11" s="6">
        <v>2154</v>
      </c>
      <c r="AT11" s="6">
        <v>23940</v>
      </c>
      <c r="AU11" s="6">
        <v>22724</v>
      </c>
      <c r="AV11" s="6">
        <v>130495</v>
      </c>
      <c r="AW11" s="6">
        <v>126099</v>
      </c>
      <c r="AX11" s="6">
        <v>856</v>
      </c>
      <c r="AY11" s="6">
        <v>3540</v>
      </c>
      <c r="AZ11" s="6">
        <v>45</v>
      </c>
      <c r="BA11" s="6">
        <v>64257</v>
      </c>
      <c r="BB11" s="6">
        <v>61035</v>
      </c>
      <c r="BC11" s="6">
        <v>455</v>
      </c>
      <c r="BD11" s="6">
        <v>2767</v>
      </c>
      <c r="BE11" s="6">
        <v>16</v>
      </c>
      <c r="BF11" s="6">
        <v>614686</v>
      </c>
      <c r="BG11" s="6">
        <v>608000</v>
      </c>
      <c r="BH11" s="6">
        <v>3118</v>
      </c>
      <c r="BI11" s="6">
        <v>3568</v>
      </c>
      <c r="BJ11" s="6">
        <v>21724</v>
      </c>
      <c r="BK11" s="6">
        <v>21135</v>
      </c>
      <c r="BL11" s="6">
        <v>18928</v>
      </c>
      <c r="BM11" s="6">
        <v>340</v>
      </c>
      <c r="BN11" s="6">
        <v>1867</v>
      </c>
      <c r="BO11" s="6">
        <v>685</v>
      </c>
      <c r="BP11" s="6">
        <v>78993</v>
      </c>
      <c r="BQ11" s="6">
        <v>69314</v>
      </c>
      <c r="BR11" s="6">
        <v>3059</v>
      </c>
      <c r="BS11" s="6">
        <v>6620</v>
      </c>
      <c r="BT11" s="6">
        <v>408</v>
      </c>
      <c r="BU11" s="6">
        <v>1324</v>
      </c>
      <c r="BV11" s="6">
        <v>0</v>
      </c>
      <c r="BW11" s="6">
        <v>1324</v>
      </c>
      <c r="BX11" s="6">
        <v>0</v>
      </c>
      <c r="BY11" s="6">
        <v>2</v>
      </c>
      <c r="BZ11" s="6">
        <v>93.8030650993393</v>
      </c>
      <c r="CA11" s="6">
        <v>-1.76168182640852</v>
      </c>
      <c r="CB11" s="6">
        <v>-1.24130910634203</v>
      </c>
      <c r="CC11" s="6">
        <v>1.89267923634695</v>
      </c>
      <c r="CD11" s="6">
        <v>4.16124947429848</v>
      </c>
      <c r="CE11" s="6">
        <v>88.5900667094549</v>
      </c>
      <c r="CF11" s="6">
        <v>80.4070206983919</v>
      </c>
      <c r="CG11" s="6">
        <v>87.6408319419002</v>
      </c>
      <c r="CH11" s="6">
        <v>67.081282104313</v>
      </c>
      <c r="CI11" s="6">
        <v>-0.629709326544137</v>
      </c>
      <c r="CJ11" s="6">
        <v>-1.30643074233283</v>
      </c>
      <c r="CK11" s="6">
        <v>1.05501663408022</v>
      </c>
      <c r="CL11" s="6">
        <v>2.57710993716185</v>
      </c>
      <c r="CM11" s="6">
        <v>64.8036621992428</v>
      </c>
      <c r="CN11" s="6">
        <v>4.3583089842872</v>
      </c>
      <c r="CO11" s="6">
        <v>78.2741906722648</v>
      </c>
      <c r="CP11" s="6">
        <v>100.097882870498</v>
      </c>
      <c r="CQ11" s="6">
        <v>8.34204191272072</v>
      </c>
      <c r="CR11" s="6">
        <v>4.28057312192588</v>
      </c>
      <c r="CS11" s="6">
        <v>0.377356184889866</v>
      </c>
      <c r="CT11" s="6">
        <v>7.95331928023707</v>
      </c>
      <c r="CU11" s="6">
        <v>90.7142009200178</v>
      </c>
      <c r="CV11" s="6">
        <v>96.6806300848191</v>
      </c>
      <c r="CW11" s="6">
        <v>36.1657043350747</v>
      </c>
      <c r="CX11" s="6">
        <v>0.777483349669583</v>
      </c>
      <c r="CY11" s="6">
        <v>-8.0534017658021</v>
      </c>
      <c r="CZ11" s="6">
        <v>0.263220603061131</v>
      </c>
      <c r="DA11" s="6">
        <v>2.92548803959307</v>
      </c>
      <c r="DB11" s="6">
        <v>39.9259534055498</v>
      </c>
      <c r="DC11" s="6">
        <v>0.552535918296694</v>
      </c>
      <c r="DD11" s="6">
        <v>88.4202324084426</v>
      </c>
      <c r="DE11" s="6">
        <v>-6.81112796804213</v>
      </c>
      <c r="DF11" s="6">
        <v>-2.31121048887082</v>
      </c>
      <c r="DG11" s="6">
        <v>0.580004743029441</v>
      </c>
      <c r="DH11" s="6">
        <v>2.39861774570586</v>
      </c>
      <c r="DI11" s="6">
        <v>49.2409670868616</v>
      </c>
      <c r="DJ11" s="6">
        <v>1.42662298077249</v>
      </c>
      <c r="DK11" s="6">
        <v>-0.18474946056723</v>
      </c>
      <c r="DL11" s="6">
        <v>0.348672362925783</v>
      </c>
      <c r="DM11" s="6">
        <v>2.12038775432009</v>
      </c>
      <c r="DN11" s="6">
        <v>96.1227872646525</v>
      </c>
      <c r="DO11" s="6">
        <v>0.058077144599078</v>
      </c>
      <c r="DP11" s="6">
        <v>-0.230030649903046</v>
      </c>
      <c r="DQ11" s="6">
        <v>0.487583661725152</v>
      </c>
      <c r="DR11" s="6">
        <v>0.557953337086383</v>
      </c>
      <c r="DS11" s="6">
        <v>96.3616468335385</v>
      </c>
      <c r="DT11" s="6">
        <v>0.8923620199914</v>
      </c>
      <c r="DU11" s="6">
        <v>0.118542834997493</v>
      </c>
      <c r="DV11" s="6">
        <v>1.55017553458259</v>
      </c>
      <c r="DW11" s="6">
        <v>8.51228742078147</v>
      </c>
      <c r="DX11" s="6">
        <v>89.8382767719043</v>
      </c>
      <c r="DY11" s="6">
        <v>-8.76597094126993</v>
      </c>
      <c r="DZ11" s="6">
        <v>-3.29360385770175</v>
      </c>
      <c r="EA11" s="6">
        <v>3.47898280411246</v>
      </c>
      <c r="EB11" s="6">
        <v>7.52888727140388</v>
      </c>
      <c r="EC11" s="6" t="e">
        <v>#DIV/0!</v>
      </c>
      <c r="ED11" s="6" t="e">
        <v>#NUM!</v>
      </c>
      <c r="EE11" s="6" t="e">
        <v>#NUM!</v>
      </c>
      <c r="EF11" s="6" t="e">
        <v>#DIV/0!</v>
      </c>
      <c r="EG11" s="6">
        <v>0</v>
      </c>
      <c r="EH11" s="6">
        <v>805906214.166815</v>
      </c>
      <c r="EI11" s="6">
        <v>559405909.560632</v>
      </c>
      <c r="EJ11" s="6">
        <v>111564788.016824</v>
      </c>
      <c r="EK11" s="6">
        <v>92772353.024112</v>
      </c>
      <c r="EL11" s="6">
        <v>42163163.565247</v>
      </c>
      <c r="EM11" s="6">
        <v>214877671.779304</v>
      </c>
      <c r="EN11" s="6">
        <v>204283314.770798</v>
      </c>
      <c r="EO11" s="6">
        <v>4073874.759847</v>
      </c>
      <c r="EP11" s="6">
        <v>6520482.248659</v>
      </c>
      <c r="EQ11" s="6">
        <v>18487354.895347</v>
      </c>
      <c r="ER11" s="6">
        <v>281430908.396075</v>
      </c>
      <c r="ES11" s="6">
        <v>810067605.249063</v>
      </c>
      <c r="ET11" s="6">
        <v>541977591.848413</v>
      </c>
      <c r="EU11" s="6">
        <v>463519667.147207</v>
      </c>
      <c r="EV11" s="6">
        <v>1320702149.23754</v>
      </c>
      <c r="EW11" s="6">
        <v>1352045197.09748</v>
      </c>
      <c r="EX11" s="6">
        <v>463519667.147207</v>
      </c>
      <c r="EY11" s="6">
        <v>2235239915.93222</v>
      </c>
      <c r="EZ11" s="6">
        <v>901027097.55</v>
      </c>
      <c r="FA11" s="6">
        <v>0</v>
      </c>
      <c r="FB11" s="6">
        <v>564613918.27</v>
      </c>
      <c r="FC11" s="6">
        <v>530013864.17</v>
      </c>
      <c r="FD11" s="6">
        <v>378243016.9</v>
      </c>
      <c r="FE11" s="6">
        <v>72031622.41</v>
      </c>
      <c r="FF11" s="6">
        <v>79739224.86</v>
      </c>
      <c r="FG11" s="6">
        <v>22144421.91</v>
      </c>
      <c r="FH11" s="6">
        <v>12455632.19</v>
      </c>
      <c r="FI11" s="6">
        <v>177818790.68</v>
      </c>
      <c r="FJ11" s="6">
        <v>142007065.88</v>
      </c>
      <c r="FK11" s="6">
        <v>136697671.46</v>
      </c>
      <c r="FL11" s="6">
        <v>134599565.35</v>
      </c>
      <c r="FM11" s="6">
        <v>2098106.11</v>
      </c>
      <c r="FN11" s="6">
        <v>1801426.28</v>
      </c>
      <c r="FO11" s="6">
        <v>3507968.14</v>
      </c>
      <c r="FP11" s="6">
        <v>50963292.3</v>
      </c>
      <c r="FQ11" s="6">
        <v>11223718.42</v>
      </c>
      <c r="FR11" s="6">
        <v>10983173.18</v>
      </c>
      <c r="FS11" s="6">
        <v>79451.78</v>
      </c>
      <c r="FT11" s="6">
        <v>161093.46</v>
      </c>
      <c r="FU11" s="6">
        <v>2659858.38</v>
      </c>
      <c r="FV11" s="6">
        <v>174841069.62</v>
      </c>
      <c r="FW11" s="6">
        <v>173188840.41</v>
      </c>
      <c r="FX11" s="6">
        <v>998066.37</v>
      </c>
      <c r="FY11" s="6">
        <v>654162.84</v>
      </c>
      <c r="FZ11" s="6">
        <v>49670342.76</v>
      </c>
      <c r="GA11" s="6">
        <v>529272288.55</v>
      </c>
      <c r="GB11" s="6">
        <v>485121740.22</v>
      </c>
      <c r="GC11" s="6">
        <v>31006017.03</v>
      </c>
      <c r="GD11" s="6">
        <v>13144531.3</v>
      </c>
      <c r="GE11" s="6">
        <v>183426976.39</v>
      </c>
      <c r="GF11" s="6">
        <v>353672248.4</v>
      </c>
      <c r="GG11" s="6">
        <v>315267362.65</v>
      </c>
      <c r="GH11" s="6">
        <v>15073309.78</v>
      </c>
      <c r="GI11" s="6">
        <v>23331575.97</v>
      </c>
      <c r="GJ11" s="6">
        <v>128157166.66</v>
      </c>
      <c r="GK11" s="6">
        <v>328191817.31</v>
      </c>
      <c r="GL11" s="6">
        <v>0</v>
      </c>
      <c r="GM11" s="6">
        <v>309537860.5</v>
      </c>
      <c r="GN11" s="6">
        <v>18653956.81</v>
      </c>
      <c r="GO11" s="6">
        <v>206316488.95</v>
      </c>
      <c r="GP11" s="6">
        <v>892685772.19</v>
      </c>
      <c r="GQ11" s="6">
        <v>882944536.95</v>
      </c>
      <c r="GR11" s="6">
        <v>328191817.31</v>
      </c>
      <c r="GS11" s="6">
        <v>1491689879.7</v>
      </c>
      <c r="GT11" s="6">
        <v>612132246.75</v>
      </c>
      <c r="GU11" s="6">
        <v>0</v>
      </c>
      <c r="GV11" s="6">
        <v>105.089260079796</v>
      </c>
      <c r="GW11" s="6">
        <v>1.18410559038818</v>
      </c>
      <c r="GX11" s="6">
        <v>-0.378985861225312</v>
      </c>
      <c r="GY11" s="6">
        <v>4.1216499241591</v>
      </c>
      <c r="GZ11" s="6">
        <v>2.31831545117391</v>
      </c>
      <c r="HA11" s="6">
        <v>101.42269068906</v>
      </c>
      <c r="HB11" s="6">
        <v>96.8472539908438</v>
      </c>
      <c r="HC11" s="6">
        <v>128.927243290804</v>
      </c>
      <c r="HD11" s="6">
        <v>33.0966781656792</v>
      </c>
      <c r="HE11" s="6">
        <v>99.1310995954844</v>
      </c>
      <c r="HF11" s="6">
        <v>-2.14978759257116</v>
      </c>
      <c r="HG11" s="6">
        <v>-1.7991988222819</v>
      </c>
      <c r="HH11" s="6">
        <v>1.25752452436068</v>
      </c>
      <c r="HI11" s="6">
        <v>2.44881292990015</v>
      </c>
      <c r="HJ11" s="6">
        <v>98.8330095639614</v>
      </c>
      <c r="HK11" s="6">
        <v>77.2522316105318</v>
      </c>
      <c r="HL11" s="6">
        <v>35.5760269631527</v>
      </c>
      <c r="HM11" s="6">
        <v>91.0653672486012</v>
      </c>
      <c r="HN11" s="6">
        <v>15.5582225495567</v>
      </c>
      <c r="HO11" s="6">
        <v>-3.4451536470957</v>
      </c>
      <c r="HP11" s="6">
        <v>0.64464424832346</v>
      </c>
      <c r="HQ11" s="6">
        <v>1.30705658742353</v>
      </c>
      <c r="HR11" s="6">
        <v>21.5811704410141</v>
      </c>
      <c r="HS11" s="6">
        <v>93.1886287560509</v>
      </c>
      <c r="HT11" s="6">
        <v>-1.73760778457119</v>
      </c>
      <c r="HU11" s="6">
        <v>-0.484627696997841</v>
      </c>
      <c r="HV11" s="6">
        <v>0.531959891517331</v>
      </c>
      <c r="HW11" s="6">
        <v>0.348662577821422</v>
      </c>
      <c r="HX11" s="6">
        <v>26.4738207201974</v>
      </c>
      <c r="HY11" s="6">
        <v>98.0052069334269</v>
      </c>
      <c r="HZ11" s="6">
        <v>-2.60305820886592</v>
      </c>
      <c r="IA11" s="6">
        <v>-0.66985985400424</v>
      </c>
      <c r="IB11" s="6">
        <v>5.74137581155345</v>
      </c>
      <c r="IC11" s="6">
        <v>2.43396931592369</v>
      </c>
      <c r="ID11" s="6">
        <v>33.9651237504314</v>
      </c>
      <c r="IE11" s="6">
        <v>97.8838203975745</v>
      </c>
      <c r="IF11" s="6">
        <v>-4.81720485391741</v>
      </c>
      <c r="IG11" s="6">
        <v>-1.26407573410771</v>
      </c>
      <c r="IH11" s="6">
        <v>4.17175267207797</v>
      </c>
      <c r="II11" s="6">
        <v>6.45734518942778</v>
      </c>
      <c r="IJ11" s="6">
        <v>35.4693169757038</v>
      </c>
      <c r="IK11" s="6">
        <v>106.206437581139</v>
      </c>
      <c r="IL11" s="6">
        <v>-1.02190193898456</v>
      </c>
      <c r="IM11" s="6">
        <v>-3.60410985192999</v>
      </c>
      <c r="IN11" s="6">
        <v>100.169814499488</v>
      </c>
      <c r="IO11" s="6">
        <v>6.03662308165096</v>
      </c>
      <c r="IP11" s="6">
        <v>66.7662572614671</v>
      </c>
      <c r="IQ11" s="6">
        <v>101.387633771781</v>
      </c>
      <c r="IR11" s="6">
        <v>0.354365556839231</v>
      </c>
      <c r="IS11" s="6">
        <v>-0.675485919592655</v>
      </c>
      <c r="IT11" s="6">
        <v>97.9565482180782</v>
      </c>
      <c r="IU11" s="6">
        <v>-3.45307101456817</v>
      </c>
      <c r="IV11" s="6">
        <v>-0.908055805166186</v>
      </c>
      <c r="IW11" s="6">
        <v>106.206437581139</v>
      </c>
      <c r="IX11" s="6">
        <v>-1.02190193898456</v>
      </c>
      <c r="IY11" s="6">
        <v>-3.60410985192999</v>
      </c>
      <c r="IZ11" s="6">
        <v>100.102669230333</v>
      </c>
      <c r="JA11" s="6">
        <v>-0.0738230230437287</v>
      </c>
      <c r="JB11" s="6">
        <v>-0.858522877199408</v>
      </c>
      <c r="JC11" s="6">
        <v>101.90574430244</v>
      </c>
      <c r="JD11" s="6">
        <v>-5.2787773474267</v>
      </c>
      <c r="JE11" s="6">
        <v>-2.07698458350163</v>
      </c>
      <c r="JF11" s="6">
        <v>0</v>
      </c>
      <c r="JG11" s="6">
        <v>0</v>
      </c>
      <c r="JH11" s="6">
        <v>0</v>
      </c>
      <c r="JI11" s="6">
        <v>114276265.367989</v>
      </c>
      <c r="JJ11" s="6">
        <v>113142195.986294</v>
      </c>
      <c r="JK11" s="6">
        <v>39532229.385854</v>
      </c>
      <c r="JL11" s="6">
        <v>190809045.954622</v>
      </c>
      <c r="JM11" s="6">
        <v>76141645.063913</v>
      </c>
      <c r="JN11" s="6">
        <v>-0.278398096561432</v>
      </c>
      <c r="JO11" s="6">
        <v>106381713.24</v>
      </c>
      <c r="JP11" s="6">
        <v>103206294.26</v>
      </c>
      <c r="JQ11" s="6">
        <v>31278951.67</v>
      </c>
      <c r="JR11" s="6">
        <v>175267041.44</v>
      </c>
      <c r="JS11" s="6">
        <v>68695775.46</v>
      </c>
      <c r="JT11" s="6">
        <v>-3095857.73</v>
      </c>
      <c r="JU11" s="6">
        <v>-2.95730724880345</v>
      </c>
      <c r="JV11" s="6">
        <v>-1.007880457915</v>
      </c>
      <c r="JW11" s="6">
        <v>-3.72199888254497</v>
      </c>
      <c r="JX11" s="6">
        <v>-1.03919149257585</v>
      </c>
      <c r="JY11" s="6">
        <v>-3.09168621851895</v>
      </c>
      <c r="JZ11" s="6">
        <v>0.558810233365597</v>
      </c>
      <c r="KA11" s="6">
        <v>-5.82205068341682</v>
      </c>
      <c r="KB11" s="6">
        <v>-1.62869441546208</v>
      </c>
      <c r="KC11" s="6">
        <v>-2.78923031937804</v>
      </c>
      <c r="KD11" s="6">
        <v>0.140432594048593</v>
      </c>
      <c r="KE11" s="6">
        <v>-1.15971134707254</v>
      </c>
      <c r="KF11" s="6">
        <v>1.04288209852372e-7</v>
      </c>
    </row>
    <row r="12" s="1" customFormat="1" ht="14.55" customHeight="1" spans="1:292">
      <c r="A12" s="5" t="s">
        <v>47</v>
      </c>
      <c r="B12" s="5" t="s">
        <v>97</v>
      </c>
      <c r="C12" s="5" t="s">
        <v>97</v>
      </c>
      <c r="D12" s="5" t="s">
        <v>97</v>
      </c>
      <c r="E12" s="5" t="s">
        <v>138</v>
      </c>
      <c r="F12" s="6">
        <v>349626</v>
      </c>
      <c r="G12" s="6">
        <v>301399</v>
      </c>
      <c r="H12" s="6">
        <v>30132</v>
      </c>
      <c r="I12" s="6">
        <v>18095</v>
      </c>
      <c r="J12" s="6">
        <v>189004</v>
      </c>
      <c r="K12" s="6">
        <v>181261</v>
      </c>
      <c r="L12" s="6">
        <v>7743</v>
      </c>
      <c r="M12" s="6">
        <v>66273</v>
      </c>
      <c r="N12" s="6">
        <v>220160</v>
      </c>
      <c r="O12" s="6">
        <v>10939</v>
      </c>
      <c r="P12" s="6">
        <v>114453</v>
      </c>
      <c r="Q12" s="6">
        <v>0</v>
      </c>
      <c r="R12" s="6">
        <v>330939</v>
      </c>
      <c r="S12" s="6">
        <v>312375</v>
      </c>
      <c r="T12" s="6">
        <v>271991</v>
      </c>
      <c r="U12" s="6">
        <v>25199</v>
      </c>
      <c r="V12" s="6">
        <v>15185</v>
      </c>
      <c r="W12" s="6">
        <v>6529</v>
      </c>
      <c r="X12" s="6">
        <v>12035</v>
      </c>
      <c r="Y12" s="6">
        <v>39380</v>
      </c>
      <c r="Z12" s="6">
        <v>235763</v>
      </c>
      <c r="AA12" s="6">
        <v>224778</v>
      </c>
      <c r="AB12" s="6">
        <v>210752</v>
      </c>
      <c r="AC12" s="6">
        <v>1269</v>
      </c>
      <c r="AD12" s="6">
        <v>12757</v>
      </c>
      <c r="AE12" s="6">
        <v>3699</v>
      </c>
      <c r="AF12" s="6">
        <v>7286</v>
      </c>
      <c r="AG12" s="6">
        <v>24999</v>
      </c>
      <c r="AH12" s="6">
        <v>176674</v>
      </c>
      <c r="AI12" s="6">
        <v>165895</v>
      </c>
      <c r="AJ12" s="6">
        <v>158866</v>
      </c>
      <c r="AK12" s="6">
        <v>7029</v>
      </c>
      <c r="AL12" s="6">
        <v>888</v>
      </c>
      <c r="AM12" s="6">
        <v>9891</v>
      </c>
      <c r="AN12" s="6">
        <v>7713</v>
      </c>
      <c r="AO12" s="6">
        <v>127105</v>
      </c>
      <c r="AP12" s="6">
        <v>118612</v>
      </c>
      <c r="AQ12" s="6">
        <v>117626</v>
      </c>
      <c r="AR12" s="6">
        <v>986</v>
      </c>
      <c r="AS12" s="6">
        <v>617</v>
      </c>
      <c r="AT12" s="6">
        <v>7876</v>
      </c>
      <c r="AU12" s="6">
        <v>6499</v>
      </c>
      <c r="AV12" s="6">
        <v>62890</v>
      </c>
      <c r="AW12" s="6">
        <v>59848</v>
      </c>
      <c r="AX12" s="6">
        <v>324</v>
      </c>
      <c r="AY12" s="6">
        <v>2718</v>
      </c>
      <c r="AZ12" s="6">
        <v>10</v>
      </c>
      <c r="BA12" s="6">
        <v>26371</v>
      </c>
      <c r="BB12" s="6">
        <v>24229</v>
      </c>
      <c r="BC12" s="6">
        <v>163</v>
      </c>
      <c r="BD12" s="6">
        <v>1979</v>
      </c>
      <c r="BE12" s="6">
        <v>3</v>
      </c>
      <c r="BF12" s="6">
        <v>210063</v>
      </c>
      <c r="BG12" s="6">
        <v>206015</v>
      </c>
      <c r="BH12" s="6">
        <v>2775</v>
      </c>
      <c r="BI12" s="6">
        <v>1273</v>
      </c>
      <c r="BJ12" s="6">
        <v>11928</v>
      </c>
      <c r="BK12" s="6">
        <v>10873</v>
      </c>
      <c r="BL12" s="6">
        <v>10118</v>
      </c>
      <c r="BM12" s="6">
        <v>103</v>
      </c>
      <c r="BN12" s="6">
        <v>652</v>
      </c>
      <c r="BO12" s="6">
        <v>131</v>
      </c>
      <c r="BP12" s="6">
        <v>110861</v>
      </c>
      <c r="BQ12" s="6">
        <v>103012</v>
      </c>
      <c r="BR12" s="6">
        <v>2113</v>
      </c>
      <c r="BS12" s="6">
        <v>5736</v>
      </c>
      <c r="BT12" s="6">
        <v>129</v>
      </c>
      <c r="BU12" s="6">
        <v>927</v>
      </c>
      <c r="BV12" s="6">
        <v>0</v>
      </c>
      <c r="BW12" s="6">
        <v>927</v>
      </c>
      <c r="BX12" s="6">
        <v>0</v>
      </c>
      <c r="BY12" s="6">
        <v>0</v>
      </c>
      <c r="BZ12" s="6">
        <v>94.6551457843524</v>
      </c>
      <c r="CA12" s="6">
        <v>-1.18188259894153</v>
      </c>
      <c r="CB12" s="6">
        <v>-0.809722389067169</v>
      </c>
      <c r="CC12" s="6">
        <v>1.86742404741066</v>
      </c>
      <c r="CD12" s="6">
        <v>3.44224971827038</v>
      </c>
      <c r="CE12" s="6">
        <v>90.242834249616</v>
      </c>
      <c r="CF12" s="6">
        <v>83.6287003849728</v>
      </c>
      <c r="CG12" s="6">
        <v>83.9182094501244</v>
      </c>
      <c r="CH12" s="6">
        <v>67.4329140281329</v>
      </c>
      <c r="CI12" s="6">
        <v>1.56428964876856</v>
      </c>
      <c r="CJ12" s="6">
        <v>-0.706469198514981</v>
      </c>
      <c r="CK12" s="6">
        <v>1.05798767826191</v>
      </c>
      <c r="CL12" s="6">
        <v>2.08394112565999</v>
      </c>
      <c r="CM12" s="6">
        <v>69.9245850185303</v>
      </c>
      <c r="CN12" s="6">
        <v>4.21146953405018</v>
      </c>
      <c r="CO12" s="6">
        <v>70.5001381597126</v>
      </c>
      <c r="CP12" s="6">
        <v>93.4763285433113</v>
      </c>
      <c r="CQ12" s="6">
        <v>-1.69898560342567</v>
      </c>
      <c r="CR12" s="6">
        <v>-0.203170303274014</v>
      </c>
      <c r="CS12" s="6">
        <v>0.469831326321136</v>
      </c>
      <c r="CT12" s="6">
        <v>5.23322257729995</v>
      </c>
      <c r="CU12" s="6">
        <v>87.644887758536</v>
      </c>
      <c r="CV12" s="6">
        <v>90.7787679194111</v>
      </c>
      <c r="CW12" s="6">
        <v>67.249899473027</v>
      </c>
      <c r="CX12" s="6">
        <v>-0.846472638849738</v>
      </c>
      <c r="CY12" s="6">
        <v>-2.15392266830331</v>
      </c>
      <c r="CZ12" s="6">
        <v>0.326448117500159</v>
      </c>
      <c r="DA12" s="6">
        <v>4.16710757444287</v>
      </c>
      <c r="DB12" s="6">
        <v>64.8931651044626</v>
      </c>
      <c r="DC12" s="6">
        <v>12.7340823970037</v>
      </c>
      <c r="DD12" s="6">
        <v>94.8953570835785</v>
      </c>
      <c r="DE12" s="6">
        <v>1.37719264763208</v>
      </c>
      <c r="DF12" s="6">
        <v>-1.06981727098516</v>
      </c>
      <c r="DG12" s="6">
        <v>0.488886877008737</v>
      </c>
      <c r="DH12" s="6">
        <v>4.10121769046218</v>
      </c>
      <c r="DI12" s="6">
        <v>41.9319446652886</v>
      </c>
      <c r="DJ12" s="6">
        <v>-0.352718126427964</v>
      </c>
      <c r="DK12" s="6">
        <v>-0.719669353799751</v>
      </c>
      <c r="DL12" s="6">
        <v>0.259182699952298</v>
      </c>
      <c r="DM12" s="6">
        <v>3.14676419144538</v>
      </c>
      <c r="DN12" s="6">
        <v>95.4137899709302</v>
      </c>
      <c r="DO12" s="6">
        <v>-0.371840222384789</v>
      </c>
      <c r="DP12" s="6">
        <v>-0.352016715116277</v>
      </c>
      <c r="DQ12" s="6">
        <v>1.26044694767442</v>
      </c>
      <c r="DR12" s="6">
        <v>0.578215843023256</v>
      </c>
      <c r="DS12" s="6">
        <v>99.396654173142</v>
      </c>
      <c r="DT12" s="6">
        <v>-0.567274044010158</v>
      </c>
      <c r="DU12" s="6">
        <v>0.255964896242811</v>
      </c>
      <c r="DV12" s="6">
        <v>0.941585154036018</v>
      </c>
      <c r="DW12" s="6">
        <v>5.96032544108237</v>
      </c>
      <c r="DX12" s="6">
        <v>96.8615938420137</v>
      </c>
      <c r="DY12" s="6">
        <v>-2.14235525846892</v>
      </c>
      <c r="DZ12" s="6">
        <v>-3.59798345172254</v>
      </c>
      <c r="EA12" s="6">
        <v>1.84617266476195</v>
      </c>
      <c r="EB12" s="6">
        <v>5.01166417656156</v>
      </c>
      <c r="EC12" s="6" t="e">
        <v>#DIV/0!</v>
      </c>
      <c r="ED12" s="6" t="e">
        <v>#NUM!</v>
      </c>
      <c r="EE12" s="6" t="e">
        <v>#NUM!</v>
      </c>
      <c r="EF12" s="6" t="e">
        <v>#DIV/0!</v>
      </c>
      <c r="EG12" s="6">
        <v>0</v>
      </c>
      <c r="EH12" s="6">
        <v>272582129.209325</v>
      </c>
      <c r="EI12" s="6">
        <v>211895920.79577</v>
      </c>
      <c r="EJ12" s="6">
        <v>41078361.985865</v>
      </c>
      <c r="EK12" s="6">
        <v>5962662.236147</v>
      </c>
      <c r="EL12" s="6">
        <v>13645184.191543</v>
      </c>
      <c r="EM12" s="6">
        <v>87430366.489967</v>
      </c>
      <c r="EN12" s="6">
        <v>83132423.486126</v>
      </c>
      <c r="EO12" s="6">
        <v>3603873.705361</v>
      </c>
      <c r="EP12" s="6">
        <v>694069.29848</v>
      </c>
      <c r="EQ12" s="6">
        <v>5050668.382912</v>
      </c>
      <c r="ER12" s="6">
        <v>101568727.79098</v>
      </c>
      <c r="ES12" s="6">
        <v>240689039.907088</v>
      </c>
      <c r="ET12" s="6">
        <v>246481246.59273</v>
      </c>
      <c r="EU12" s="6">
        <v>100321309.088939</v>
      </c>
      <c r="EV12" s="6">
        <v>466631891.873184</v>
      </c>
      <c r="EW12" s="6">
        <v>487170286.499818</v>
      </c>
      <c r="EX12" s="6">
        <v>100321309.088939</v>
      </c>
      <c r="EY12" s="6">
        <v>726781778.231941</v>
      </c>
      <c r="EZ12" s="6">
        <v>327341709.23</v>
      </c>
      <c r="FA12" s="6">
        <v>0</v>
      </c>
      <c r="FB12" s="6">
        <v>184507690.25</v>
      </c>
      <c r="FC12" s="6">
        <v>172896546.06</v>
      </c>
      <c r="FD12" s="6">
        <v>141584620.46</v>
      </c>
      <c r="FE12" s="6">
        <v>26854519.76</v>
      </c>
      <c r="FF12" s="6">
        <v>4457405.84</v>
      </c>
      <c r="FG12" s="6">
        <v>8589216.59</v>
      </c>
      <c r="FH12" s="6">
        <v>3021927.6</v>
      </c>
      <c r="FI12" s="6">
        <v>75325862.3</v>
      </c>
      <c r="FJ12" s="6">
        <v>58422820.34</v>
      </c>
      <c r="FK12" s="6">
        <v>56971129.49</v>
      </c>
      <c r="FL12" s="6">
        <v>54986762.36</v>
      </c>
      <c r="FM12" s="6">
        <v>1984367.13</v>
      </c>
      <c r="FN12" s="6">
        <v>255984.48</v>
      </c>
      <c r="FO12" s="6">
        <v>1195706.37</v>
      </c>
      <c r="FP12" s="6">
        <v>12487963.12</v>
      </c>
      <c r="FQ12" s="6">
        <v>3319576.19</v>
      </c>
      <c r="FR12" s="6">
        <v>3231840.43</v>
      </c>
      <c r="FS12" s="6">
        <v>13639.41</v>
      </c>
      <c r="FT12" s="6">
        <v>74096.35</v>
      </c>
      <c r="FU12" s="6">
        <v>30986.02</v>
      </c>
      <c r="FV12" s="6">
        <v>63427401.09</v>
      </c>
      <c r="FW12" s="6">
        <v>62630060.8</v>
      </c>
      <c r="FX12" s="6">
        <v>605119.63</v>
      </c>
      <c r="FY12" s="6">
        <v>192220.66</v>
      </c>
      <c r="FZ12" s="6">
        <v>24359156.66</v>
      </c>
      <c r="GA12" s="6">
        <v>162871731.28</v>
      </c>
      <c r="GB12" s="6">
        <v>158335545.86</v>
      </c>
      <c r="GC12" s="6">
        <v>2049565.58</v>
      </c>
      <c r="GD12" s="6">
        <v>2486619.84</v>
      </c>
      <c r="GE12" s="6">
        <v>40761576.57</v>
      </c>
      <c r="GF12" s="6">
        <v>150324884.31</v>
      </c>
      <c r="GG12" s="6">
        <v>143467167.79</v>
      </c>
      <c r="GH12" s="6">
        <v>1436377.26</v>
      </c>
      <c r="GI12" s="6">
        <v>5421339.26</v>
      </c>
      <c r="GJ12" s="6">
        <v>31006815.15</v>
      </c>
      <c r="GK12" s="6">
        <v>62679005.67</v>
      </c>
      <c r="GL12" s="6">
        <v>0</v>
      </c>
      <c r="GM12" s="6">
        <v>58627633.97</v>
      </c>
      <c r="GN12" s="6">
        <v>4051371.7</v>
      </c>
      <c r="GO12" s="6">
        <v>38713468.87</v>
      </c>
      <c r="GP12" s="6">
        <v>309677487.87</v>
      </c>
      <c r="GQ12" s="6">
        <v>313196615.59</v>
      </c>
      <c r="GR12" s="6">
        <v>62679005.67</v>
      </c>
      <c r="GS12" s="6">
        <v>479923768.99</v>
      </c>
      <c r="GT12" s="6">
        <v>205629340.14</v>
      </c>
      <c r="GU12" s="6">
        <v>0</v>
      </c>
      <c r="GV12" s="6">
        <v>101.533264920117</v>
      </c>
      <c r="GW12" s="6">
        <v>-2.10668951165394</v>
      </c>
      <c r="GX12" s="6">
        <v>-0.184065598618832</v>
      </c>
      <c r="GY12" s="6">
        <v>4.72658457925027</v>
      </c>
      <c r="GZ12" s="6">
        <v>1.66294518762051</v>
      </c>
      <c r="HA12" s="6">
        <v>100.227002904267</v>
      </c>
      <c r="HB12" s="6">
        <v>98.0608225173655</v>
      </c>
      <c r="HC12" s="6">
        <v>112.13294490282</v>
      </c>
      <c r="HD12" s="6">
        <v>41.4512843441883</v>
      </c>
      <c r="HE12" s="6">
        <v>100.233173013242</v>
      </c>
      <c r="HF12" s="6">
        <v>-2.57595942174528</v>
      </c>
      <c r="HG12" s="6">
        <v>-0.482102655511341</v>
      </c>
      <c r="HH12" s="6">
        <v>0.439180041689592</v>
      </c>
      <c r="HI12" s="6">
        <v>2.05141488821944</v>
      </c>
      <c r="HJ12" s="6">
        <v>99.215372391694</v>
      </c>
      <c r="HK12" s="6">
        <v>82.5930911666572</v>
      </c>
      <c r="HL12" s="6">
        <v>21.4249870291343</v>
      </c>
      <c r="HM12" s="6">
        <v>98.5882245179026</v>
      </c>
      <c r="HN12" s="6">
        <v>-7.10886433107239</v>
      </c>
      <c r="HO12" s="6">
        <v>-0.392575948022988</v>
      </c>
      <c r="HP12" s="6">
        <v>0.405077376871933</v>
      </c>
      <c r="HQ12" s="6">
        <v>2.20059042830919</v>
      </c>
      <c r="HR12" s="6">
        <v>0.920255033121026</v>
      </c>
      <c r="HS12" s="6">
        <v>93.6716484534418</v>
      </c>
      <c r="HT12" s="6">
        <v>0.886482647996348</v>
      </c>
      <c r="HU12" s="6">
        <v>-0.442786265231254</v>
      </c>
      <c r="HV12" s="6">
        <v>0.893660346783046</v>
      </c>
      <c r="HW12" s="6">
        <v>0.283877721293666</v>
      </c>
      <c r="HX12" s="6">
        <v>35.9743946632803</v>
      </c>
      <c r="HY12" s="6">
        <v>101.503415782584</v>
      </c>
      <c r="HZ12" s="6">
        <v>-0.0217299237774217</v>
      </c>
      <c r="IA12" s="6">
        <v>-0.246259709896792</v>
      </c>
      <c r="IB12" s="6">
        <v>1.27731132717417</v>
      </c>
      <c r="IC12" s="6">
        <v>1.54968824564668</v>
      </c>
      <c r="ID12" s="6">
        <v>25.4030532003462</v>
      </c>
      <c r="IE12" s="6">
        <v>91.482548705858</v>
      </c>
      <c r="IF12" s="6">
        <v>-3.56950195340087</v>
      </c>
      <c r="IG12" s="6">
        <v>-0.229177877463038</v>
      </c>
      <c r="IH12" s="6">
        <v>0.874129744061247</v>
      </c>
      <c r="II12" s="6">
        <v>3.2992404097326</v>
      </c>
      <c r="IJ12" s="6">
        <v>18.8696800945066</v>
      </c>
      <c r="IK12" s="6">
        <v>93.7173860257831</v>
      </c>
      <c r="IL12" s="6">
        <v>-14.6801402271686</v>
      </c>
      <c r="IM12" s="6">
        <v>-0.217987361793819</v>
      </c>
      <c r="IN12" s="6">
        <v>87.6597920757157</v>
      </c>
      <c r="IO12" s="6">
        <v>6.05759395006741</v>
      </c>
      <c r="IP12" s="6">
        <v>57.8842160577454</v>
      </c>
      <c r="IQ12" s="6">
        <v>99.546610485689</v>
      </c>
      <c r="IR12" s="6">
        <v>-1.4781732428747</v>
      </c>
      <c r="IS12" s="6">
        <v>-0.298478127277535</v>
      </c>
      <c r="IT12" s="6">
        <v>96.4334107402865</v>
      </c>
      <c r="IU12" s="6">
        <v>-1.79465071361063</v>
      </c>
      <c r="IV12" s="6">
        <v>-0.237617246534327</v>
      </c>
      <c r="IW12" s="6">
        <v>93.7173860257831</v>
      </c>
      <c r="IX12" s="6">
        <v>-14.6801402271686</v>
      </c>
      <c r="IY12" s="6">
        <v>-0.217987361793819</v>
      </c>
      <c r="IZ12" s="6">
        <v>99.0511423162373</v>
      </c>
      <c r="JA12" s="6">
        <v>-2.31151195507557</v>
      </c>
      <c r="JB12" s="6">
        <v>-0.27469475400359</v>
      </c>
      <c r="JC12" s="6">
        <v>94.2269199166667</v>
      </c>
      <c r="JD12" s="6">
        <v>-3.50936875782797</v>
      </c>
      <c r="JE12" s="6">
        <v>-0.236038087482819</v>
      </c>
      <c r="JF12" s="6">
        <v>0</v>
      </c>
      <c r="JG12" s="6">
        <v>0</v>
      </c>
      <c r="JH12" s="6">
        <v>0</v>
      </c>
      <c r="JI12" s="6">
        <v>39348794.70779</v>
      </c>
      <c r="JJ12" s="6">
        <v>40643410.729645</v>
      </c>
      <c r="JK12" s="6">
        <v>8407801.830875</v>
      </c>
      <c r="JL12" s="6">
        <v>61050167.22783</v>
      </c>
      <c r="JM12" s="6">
        <v>27349840.042447</v>
      </c>
      <c r="JN12" s="6">
        <v>-0.00196699798107147</v>
      </c>
      <c r="JO12" s="6">
        <v>37897222.74</v>
      </c>
      <c r="JP12" s="6">
        <v>38474309.92</v>
      </c>
      <c r="JQ12" s="6">
        <v>7707307.84</v>
      </c>
      <c r="JR12" s="6">
        <v>58825886.13</v>
      </c>
      <c r="JS12" s="6">
        <v>27309312.87</v>
      </c>
      <c r="JT12" s="6">
        <v>-2056358.5</v>
      </c>
      <c r="JU12" s="6">
        <v>-1.64204960230853</v>
      </c>
      <c r="JV12" s="6">
        <v>-0.722973610285111</v>
      </c>
      <c r="JW12" s="6">
        <v>-2.4537337458145</v>
      </c>
      <c r="JX12" s="6">
        <v>-1.68985707926578</v>
      </c>
      <c r="JY12" s="6">
        <v>-0.792413951674092</v>
      </c>
      <c r="JZ12" s="6">
        <v>-0.648106419704317</v>
      </c>
      <c r="KA12" s="6">
        <v>-2.51615488116296</v>
      </c>
      <c r="KB12" s="6">
        <v>-1.19875115039712</v>
      </c>
      <c r="KC12" s="6">
        <v>-0.0458452139307918</v>
      </c>
      <c r="KD12" s="6">
        <v>-1.8621859610832</v>
      </c>
      <c r="KE12" s="6">
        <v>-2.32619720470337</v>
      </c>
      <c r="KF12" s="6">
        <v>2.22511065536599e-9</v>
      </c>
    </row>
    <row r="13" s="1" customFormat="1" ht="14.55" customHeight="1" spans="1:292">
      <c r="A13" s="5" t="s">
        <v>48</v>
      </c>
      <c r="B13" s="5" t="s">
        <v>97</v>
      </c>
      <c r="C13" s="5" t="s">
        <v>97</v>
      </c>
      <c r="D13" s="5" t="s">
        <v>97</v>
      </c>
      <c r="E13" s="5" t="s">
        <v>138</v>
      </c>
      <c r="F13" s="6">
        <v>429658</v>
      </c>
      <c r="G13" s="6">
        <v>366300</v>
      </c>
      <c r="H13" s="6">
        <v>38453</v>
      </c>
      <c r="I13" s="6">
        <v>24905</v>
      </c>
      <c r="J13" s="6">
        <v>235105</v>
      </c>
      <c r="K13" s="6">
        <v>218118</v>
      </c>
      <c r="L13" s="6">
        <v>16987</v>
      </c>
      <c r="M13" s="6">
        <v>88383</v>
      </c>
      <c r="N13" s="6">
        <v>307754</v>
      </c>
      <c r="O13" s="6">
        <v>10341</v>
      </c>
      <c r="P13" s="6">
        <v>26313</v>
      </c>
      <c r="Q13" s="6">
        <v>0</v>
      </c>
      <c r="R13" s="6">
        <v>414240</v>
      </c>
      <c r="S13" s="6">
        <v>390606</v>
      </c>
      <c r="T13" s="6">
        <v>336577</v>
      </c>
      <c r="U13" s="6">
        <v>32499</v>
      </c>
      <c r="V13" s="6">
        <v>21530</v>
      </c>
      <c r="W13" s="6">
        <v>7874</v>
      </c>
      <c r="X13" s="6">
        <v>15760</v>
      </c>
      <c r="Y13" s="6">
        <v>53986</v>
      </c>
      <c r="Z13" s="6">
        <v>286886</v>
      </c>
      <c r="AA13" s="6">
        <v>273062</v>
      </c>
      <c r="AB13" s="6">
        <v>253265</v>
      </c>
      <c r="AC13" s="6">
        <v>1559</v>
      </c>
      <c r="AD13" s="6">
        <v>18238</v>
      </c>
      <c r="AE13" s="6">
        <v>4201</v>
      </c>
      <c r="AF13" s="6">
        <v>9623</v>
      </c>
      <c r="AG13" s="6">
        <v>36736</v>
      </c>
      <c r="AH13" s="6">
        <v>226742</v>
      </c>
      <c r="AI13" s="6">
        <v>210443</v>
      </c>
      <c r="AJ13" s="6">
        <v>194958</v>
      </c>
      <c r="AK13" s="6">
        <v>15485</v>
      </c>
      <c r="AL13" s="6">
        <v>1063</v>
      </c>
      <c r="AM13" s="6">
        <v>15236</v>
      </c>
      <c r="AN13" s="6">
        <v>7845</v>
      </c>
      <c r="AO13" s="6">
        <v>138114</v>
      </c>
      <c r="AP13" s="6">
        <v>124500</v>
      </c>
      <c r="AQ13" s="6">
        <v>124071</v>
      </c>
      <c r="AR13" s="6">
        <v>429</v>
      </c>
      <c r="AS13" s="6">
        <v>779</v>
      </c>
      <c r="AT13" s="6">
        <v>12835</v>
      </c>
      <c r="AU13" s="6">
        <v>6327</v>
      </c>
      <c r="AV13" s="6">
        <v>78904</v>
      </c>
      <c r="AW13" s="6">
        <v>76024</v>
      </c>
      <c r="AX13" s="6">
        <v>191</v>
      </c>
      <c r="AY13" s="6">
        <v>2689</v>
      </c>
      <c r="AZ13" s="6">
        <v>21</v>
      </c>
      <c r="BA13" s="6">
        <v>33657</v>
      </c>
      <c r="BB13" s="6">
        <v>31626</v>
      </c>
      <c r="BC13" s="6">
        <v>64</v>
      </c>
      <c r="BD13" s="6">
        <v>1967</v>
      </c>
      <c r="BE13" s="6">
        <v>8</v>
      </c>
      <c r="BF13" s="6">
        <v>293733</v>
      </c>
      <c r="BG13" s="6">
        <v>288664</v>
      </c>
      <c r="BH13" s="6">
        <v>1587</v>
      </c>
      <c r="BI13" s="6">
        <v>3482</v>
      </c>
      <c r="BJ13" s="6">
        <v>12267</v>
      </c>
      <c r="BK13" s="6">
        <v>10362</v>
      </c>
      <c r="BL13" s="6">
        <v>9352</v>
      </c>
      <c r="BM13" s="6">
        <v>209</v>
      </c>
      <c r="BN13" s="6">
        <v>801</v>
      </c>
      <c r="BO13" s="6">
        <v>67</v>
      </c>
      <c r="BP13" s="6">
        <v>23407</v>
      </c>
      <c r="BQ13" s="6">
        <v>21628</v>
      </c>
      <c r="BR13" s="6">
        <v>330</v>
      </c>
      <c r="BS13" s="6">
        <v>1449</v>
      </c>
      <c r="BT13" s="6">
        <v>130</v>
      </c>
      <c r="BU13" s="6">
        <v>139</v>
      </c>
      <c r="BV13" s="6">
        <v>0</v>
      </c>
      <c r="BW13" s="6">
        <v>139</v>
      </c>
      <c r="BX13" s="6">
        <v>0</v>
      </c>
      <c r="BY13" s="6">
        <v>1</v>
      </c>
      <c r="BZ13" s="6">
        <v>96.411564546686</v>
      </c>
      <c r="CA13" s="6">
        <v>-0.81646410998647</v>
      </c>
      <c r="CB13" s="6">
        <v>-0.333288336304693</v>
      </c>
      <c r="CC13" s="6">
        <v>1.83262036317257</v>
      </c>
      <c r="CD13" s="6">
        <v>3.66803364536445</v>
      </c>
      <c r="CE13" s="6">
        <v>91.8856128856129</v>
      </c>
      <c r="CF13" s="6">
        <v>84.5161625880946</v>
      </c>
      <c r="CG13" s="6">
        <v>86.4485043164023</v>
      </c>
      <c r="CH13" s="6">
        <v>66.7707804812199</v>
      </c>
      <c r="CI13" s="6">
        <v>-0.84543006060479</v>
      </c>
      <c r="CJ13" s="6">
        <v>-0.254388374009096</v>
      </c>
      <c r="CK13" s="6">
        <v>0.977754400011172</v>
      </c>
      <c r="CL13" s="6">
        <v>2.23968831023744</v>
      </c>
      <c r="CM13" s="6">
        <v>69.1414141414141</v>
      </c>
      <c r="CN13" s="6">
        <v>4.05430005461212</v>
      </c>
      <c r="CO13" s="6">
        <v>73.2302750451717</v>
      </c>
      <c r="CP13" s="6">
        <v>96.4428659535101</v>
      </c>
      <c r="CQ13" s="6">
        <v>1.38298327467683</v>
      </c>
      <c r="CR13" s="6">
        <v>-1.03953552667957</v>
      </c>
      <c r="CS13" s="6">
        <v>0.452138406244019</v>
      </c>
      <c r="CT13" s="6">
        <v>6.48050870887476</v>
      </c>
      <c r="CU13" s="6">
        <v>89.3818942040547</v>
      </c>
      <c r="CV13" s="6">
        <v>91.157944310355</v>
      </c>
      <c r="CW13" s="6">
        <v>58.7456668297144</v>
      </c>
      <c r="CX13" s="6">
        <v>1.26522035749669</v>
      </c>
      <c r="CY13" s="6">
        <v>-3.59286276344613</v>
      </c>
      <c r="CZ13" s="6">
        <v>0.331341315582399</v>
      </c>
      <c r="DA13" s="6">
        <v>5.45926288254184</v>
      </c>
      <c r="DB13" s="6">
        <v>56.882513135092</v>
      </c>
      <c r="DC13" s="6">
        <v>2.52546064637664</v>
      </c>
      <c r="DD13" s="6">
        <v>89.2750868379666</v>
      </c>
      <c r="DE13" s="6">
        <v>-5.13165817991794</v>
      </c>
      <c r="DF13" s="6">
        <v>-2.70413993641311</v>
      </c>
      <c r="DG13" s="6">
        <v>0.216104907052261</v>
      </c>
      <c r="DH13" s="6">
        <v>3.04244028829073</v>
      </c>
      <c r="DI13" s="6">
        <v>42.6556321606002</v>
      </c>
      <c r="DJ13" s="6">
        <v>0.77940755923841</v>
      </c>
      <c r="DK13" s="6">
        <v>0.122357872214857</v>
      </c>
      <c r="DL13" s="6">
        <v>0.0811112237655886</v>
      </c>
      <c r="DM13" s="6">
        <v>2.49290276792051</v>
      </c>
      <c r="DN13" s="6">
        <v>95.4440884602637</v>
      </c>
      <c r="DO13" s="6">
        <v>0.168916839028288</v>
      </c>
      <c r="DP13" s="6">
        <v>-0.500399669866192</v>
      </c>
      <c r="DQ13" s="6">
        <v>0.515671607842628</v>
      </c>
      <c r="DR13" s="6">
        <v>1.13142314965849</v>
      </c>
      <c r="DS13" s="6">
        <v>100.203075137801</v>
      </c>
      <c r="DT13" s="6">
        <v>5.52047754568131</v>
      </c>
      <c r="DU13" s="6">
        <v>0.17406440382941</v>
      </c>
      <c r="DV13" s="6">
        <v>2.02108113335267</v>
      </c>
      <c r="DW13" s="6">
        <v>7.74586597040905</v>
      </c>
      <c r="DX13" s="6">
        <v>88.9560293391099</v>
      </c>
      <c r="DY13" s="6">
        <v>-7.21638851508862</v>
      </c>
      <c r="DZ13" s="6">
        <v>0.25082658761828</v>
      </c>
      <c r="EA13" s="6">
        <v>1.25413293809144</v>
      </c>
      <c r="EB13" s="6">
        <v>5.50678371907422</v>
      </c>
      <c r="EC13" s="6" t="e">
        <v>#DIV/0!</v>
      </c>
      <c r="ED13" s="6" t="e">
        <v>#NUM!</v>
      </c>
      <c r="EE13" s="6" t="e">
        <v>#NUM!</v>
      </c>
      <c r="EF13" s="6" t="e">
        <v>#DIV/0!</v>
      </c>
      <c r="EG13" s="6">
        <v>0</v>
      </c>
      <c r="EH13" s="6">
        <v>353857512.820648</v>
      </c>
      <c r="EI13" s="6">
        <v>282328922.848342</v>
      </c>
      <c r="EJ13" s="6">
        <v>47038338.261637</v>
      </c>
      <c r="EK13" s="6">
        <v>8815361.537021</v>
      </c>
      <c r="EL13" s="6">
        <v>15674890.173648</v>
      </c>
      <c r="EM13" s="6">
        <v>92516445.476846</v>
      </c>
      <c r="EN13" s="6">
        <v>89441843.986022</v>
      </c>
      <c r="EO13" s="6">
        <v>1729560.98404</v>
      </c>
      <c r="EP13" s="6">
        <v>1345040.506784</v>
      </c>
      <c r="EQ13" s="6">
        <v>7385573.565304</v>
      </c>
      <c r="ER13" s="6">
        <v>132135744.975892</v>
      </c>
      <c r="ES13" s="6">
        <v>158031234.333447</v>
      </c>
      <c r="ET13" s="6">
        <v>123963814.799909</v>
      </c>
      <c r="EU13" s="6">
        <v>102558832.137648</v>
      </c>
      <c r="EV13" s="6">
        <v>585895276.83869</v>
      </c>
      <c r="EW13" s="6">
        <v>281995049.133356</v>
      </c>
      <c r="EX13" s="6">
        <v>102558832.137648</v>
      </c>
      <c r="EY13" s="6">
        <v>752326413.029694</v>
      </c>
      <c r="EZ13" s="6">
        <v>218122745.08</v>
      </c>
      <c r="FA13" s="6">
        <v>0</v>
      </c>
      <c r="FB13" s="6">
        <v>236408966.34</v>
      </c>
      <c r="FC13" s="6">
        <v>223096961.51</v>
      </c>
      <c r="FD13" s="6">
        <v>185910173.54</v>
      </c>
      <c r="FE13" s="6">
        <v>30757528.36</v>
      </c>
      <c r="FF13" s="6">
        <v>6429259.61</v>
      </c>
      <c r="FG13" s="6">
        <v>9345697.72</v>
      </c>
      <c r="FH13" s="6">
        <v>3966307.11</v>
      </c>
      <c r="FI13" s="6">
        <v>95318454.69</v>
      </c>
      <c r="FJ13" s="6">
        <v>63315593.48</v>
      </c>
      <c r="FK13" s="6">
        <v>59669306.14</v>
      </c>
      <c r="FL13" s="6">
        <v>58675079.01</v>
      </c>
      <c r="FM13" s="6">
        <v>994227.13</v>
      </c>
      <c r="FN13" s="6">
        <v>1367292.92</v>
      </c>
      <c r="FO13" s="6">
        <v>2278994.42</v>
      </c>
      <c r="FP13" s="6">
        <v>13548717.26</v>
      </c>
      <c r="FQ13" s="6">
        <v>4887474.3</v>
      </c>
      <c r="FR13" s="6">
        <v>4749865.42</v>
      </c>
      <c r="FS13" s="6">
        <v>9748.19</v>
      </c>
      <c r="FT13" s="6">
        <v>127860.69</v>
      </c>
      <c r="FU13" s="6">
        <v>63560.58</v>
      </c>
      <c r="FV13" s="6">
        <v>80798226.98</v>
      </c>
      <c r="FW13" s="6">
        <v>80260665.82</v>
      </c>
      <c r="FX13" s="6">
        <v>239029.44</v>
      </c>
      <c r="FY13" s="6">
        <v>298531.72</v>
      </c>
      <c r="FZ13" s="6">
        <v>21886547.38</v>
      </c>
      <c r="GA13" s="6">
        <v>109028296.25</v>
      </c>
      <c r="GB13" s="6">
        <v>98289407.33</v>
      </c>
      <c r="GC13" s="6">
        <v>8396080.22</v>
      </c>
      <c r="GD13" s="6">
        <v>2342808.7</v>
      </c>
      <c r="GE13" s="6">
        <v>19946649.28</v>
      </c>
      <c r="GF13" s="6">
        <v>84143572.26</v>
      </c>
      <c r="GG13" s="6">
        <v>77210698.25</v>
      </c>
      <c r="GH13" s="6">
        <v>3768270.2</v>
      </c>
      <c r="GI13" s="6">
        <v>3164603.81</v>
      </c>
      <c r="GJ13" s="6">
        <v>18814771.15</v>
      </c>
      <c r="GK13" s="6">
        <v>70132054.86</v>
      </c>
      <c r="GL13" s="6">
        <v>0</v>
      </c>
      <c r="GM13" s="6">
        <v>64458327.43</v>
      </c>
      <c r="GN13" s="6">
        <v>5673727.43</v>
      </c>
      <c r="GO13" s="6">
        <v>46491620.31</v>
      </c>
      <c r="GP13" s="6">
        <v>385410261.1</v>
      </c>
      <c r="GQ13" s="6">
        <v>193171868.51</v>
      </c>
      <c r="GR13" s="6">
        <v>70132054.86</v>
      </c>
      <c r="GS13" s="6">
        <v>494414301.91</v>
      </c>
      <c r="GT13" s="6">
        <v>154299643.92</v>
      </c>
      <c r="GU13" s="6">
        <v>238.64</v>
      </c>
      <c r="GV13" s="6">
        <v>100.213627424023</v>
      </c>
      <c r="GW13" s="6">
        <v>-0.929319997496969</v>
      </c>
      <c r="GX13" s="6">
        <v>-0.0591341178270977</v>
      </c>
      <c r="GY13" s="6">
        <v>3.96163598965476</v>
      </c>
      <c r="GZ13" s="6">
        <v>1.68131534570964</v>
      </c>
      <c r="HA13" s="6">
        <v>98.773181825157</v>
      </c>
      <c r="HB13" s="6">
        <v>98.0823180516717</v>
      </c>
      <c r="HC13" s="6">
        <v>109.398682907099</v>
      </c>
      <c r="HD13" s="6">
        <v>40.4054391541117</v>
      </c>
      <c r="HE13" s="6">
        <v>102.655684327787</v>
      </c>
      <c r="HF13" s="6">
        <v>5.10808140564673</v>
      </c>
      <c r="HG13" s="6">
        <v>-0.519712675738337</v>
      </c>
      <c r="HH13" s="6">
        <v>2.21683763295174</v>
      </c>
      <c r="HI13" s="6">
        <v>3.69500969517419</v>
      </c>
      <c r="HJ13" s="6">
        <v>98.4020617114677</v>
      </c>
      <c r="HK13" s="6">
        <v>86.2265458553793</v>
      </c>
      <c r="HL13" s="6">
        <v>21.9669873666798</v>
      </c>
      <c r="HM13" s="6">
        <v>99.2639418614773</v>
      </c>
      <c r="HN13" s="6">
        <v>-4.85334984503828</v>
      </c>
      <c r="HO13" s="6">
        <v>-0.481967190683697</v>
      </c>
      <c r="HP13" s="6">
        <v>0.197984420176825</v>
      </c>
      <c r="HQ13" s="6">
        <v>2.59683331706284</v>
      </c>
      <c r="HR13" s="6">
        <v>1.29090678140277</v>
      </c>
      <c r="HS13" s="6">
        <v>91.7218429366802</v>
      </c>
      <c r="HT13" s="6">
        <v>2.97539534513138</v>
      </c>
      <c r="HU13" s="6">
        <v>-0.497286945421083</v>
      </c>
      <c r="HV13" s="6">
        <v>0.27134531997032</v>
      </c>
      <c r="HW13" s="6">
        <v>0.338892084107673</v>
      </c>
      <c r="HX13" s="6">
        <v>24.845526148878</v>
      </c>
      <c r="HY13" s="6">
        <v>103.487418208684</v>
      </c>
      <c r="HZ13" s="6">
        <v>4.14558676068426</v>
      </c>
      <c r="IA13" s="6">
        <v>-0.715580866781362</v>
      </c>
      <c r="IB13" s="6">
        <v>7.96938680072973</v>
      </c>
      <c r="IC13" s="6">
        <v>2.22374587202488</v>
      </c>
      <c r="ID13" s="6">
        <v>18.9329495818963</v>
      </c>
      <c r="IE13" s="6">
        <v>101.816290982756</v>
      </c>
      <c r="IF13" s="6">
        <v>12.5096615661245</v>
      </c>
      <c r="IG13" s="6">
        <v>-1.55544192954168</v>
      </c>
      <c r="IH13" s="6">
        <v>4.55972197138624</v>
      </c>
      <c r="II13" s="6">
        <v>3.82926721209897</v>
      </c>
      <c r="IJ13" s="6">
        <v>22.7664474270606</v>
      </c>
      <c r="IK13" s="6">
        <v>102.573401137027</v>
      </c>
      <c r="IL13" s="6">
        <v>29.4259043874383</v>
      </c>
      <c r="IM13" s="6">
        <v>-0.49741704284943</v>
      </c>
      <c r="IN13" s="6">
        <v>94.2751483511748</v>
      </c>
      <c r="IO13" s="6">
        <v>8.29825278585234</v>
      </c>
      <c r="IP13" s="6">
        <v>67.9974888670756</v>
      </c>
      <c r="IQ13" s="6">
        <v>98.6721372408619</v>
      </c>
      <c r="IR13" s="6">
        <v>1.09710808172795</v>
      </c>
      <c r="IS13" s="6">
        <v>-0.236008057915513</v>
      </c>
      <c r="IT13" s="6">
        <v>102.752797843615</v>
      </c>
      <c r="IU13" s="6">
        <v>8.03465192770704</v>
      </c>
      <c r="IV13" s="6">
        <v>-1.08478018982494</v>
      </c>
      <c r="IW13" s="6">
        <v>102.573401137027</v>
      </c>
      <c r="IX13" s="6">
        <v>29.4259043874383</v>
      </c>
      <c r="IY13" s="6">
        <v>-0.49741704284943</v>
      </c>
      <c r="IZ13" s="6">
        <v>98.5770856932187</v>
      </c>
      <c r="JA13" s="6">
        <v>0.418113781745231</v>
      </c>
      <c r="JB13" s="6">
        <v>-0.480067414264052</v>
      </c>
      <c r="JC13" s="6">
        <v>106.109734587795</v>
      </c>
      <c r="JD13" s="6">
        <v>24.8243032611973</v>
      </c>
      <c r="JE13" s="6">
        <v>-0.614427673776019</v>
      </c>
      <c r="JF13" s="6" t="e">
        <v>#DIV/0!</v>
      </c>
      <c r="JG13" s="6" t="e">
        <v>#DIV/0!</v>
      </c>
      <c r="JH13" s="6" t="e">
        <v>#NUM!</v>
      </c>
      <c r="JI13" s="6">
        <v>49443772.445919</v>
      </c>
      <c r="JJ13" s="6">
        <v>23578165.288176</v>
      </c>
      <c r="JK13" s="6">
        <v>8580830.819032</v>
      </c>
      <c r="JL13" s="6">
        <v>63366910.435577</v>
      </c>
      <c r="JM13" s="6">
        <v>18235858.044743</v>
      </c>
      <c r="JN13" s="6">
        <v>0.0728070065379143</v>
      </c>
      <c r="JO13" s="6">
        <v>47369672.6</v>
      </c>
      <c r="JP13" s="6">
        <v>22362051.48</v>
      </c>
      <c r="JQ13" s="6">
        <v>8468922.21</v>
      </c>
      <c r="JR13" s="6">
        <v>59694977.93</v>
      </c>
      <c r="JS13" s="6">
        <v>20584054.84</v>
      </c>
      <c r="JT13" s="6">
        <v>-2078386.48</v>
      </c>
      <c r="JU13" s="6">
        <v>-2.5417027910869</v>
      </c>
      <c r="JV13" s="6">
        <v>-1.55324363485758</v>
      </c>
      <c r="JW13" s="6">
        <v>-1.49028498632892</v>
      </c>
      <c r="JX13" s="6">
        <v>0.696444845745651</v>
      </c>
      <c r="JY13" s="6">
        <v>-0.137138250351325</v>
      </c>
      <c r="JZ13" s="6">
        <v>0.227536444853726</v>
      </c>
      <c r="KA13" s="6">
        <v>-4.49976461667034</v>
      </c>
      <c r="KB13" s="6">
        <v>-1.91797744681669</v>
      </c>
      <c r="KC13" s="6">
        <v>2.87759451902446</v>
      </c>
      <c r="KD13" s="6">
        <v>1.28867863664743</v>
      </c>
      <c r="KE13" s="6">
        <v>-2.54695593012127</v>
      </c>
      <c r="KF13" s="6">
        <v>3.64659110482126e-5</v>
      </c>
    </row>
    <row r="14" s="1" customFormat="1" ht="14.55" customHeight="1" spans="1:292">
      <c r="A14" s="5" t="s">
        <v>50</v>
      </c>
      <c r="B14" s="5" t="s">
        <v>97</v>
      </c>
      <c r="C14" s="5" t="s">
        <v>97</v>
      </c>
      <c r="D14" s="5" t="s">
        <v>97</v>
      </c>
      <c r="E14" s="5" t="s">
        <v>138</v>
      </c>
      <c r="F14" s="6">
        <v>279002</v>
      </c>
      <c r="G14" s="6">
        <v>239324</v>
      </c>
      <c r="H14" s="6">
        <v>21737</v>
      </c>
      <c r="I14" s="6">
        <v>17941</v>
      </c>
      <c r="J14" s="6">
        <v>143584</v>
      </c>
      <c r="K14" s="6">
        <v>130781</v>
      </c>
      <c r="L14" s="6">
        <v>12803</v>
      </c>
      <c r="M14" s="6">
        <v>60227</v>
      </c>
      <c r="N14" s="6">
        <v>169269</v>
      </c>
      <c r="O14" s="6">
        <v>4493</v>
      </c>
      <c r="P14" s="6">
        <v>25167</v>
      </c>
      <c r="Q14" s="6">
        <v>0</v>
      </c>
      <c r="R14" s="6">
        <v>265879</v>
      </c>
      <c r="S14" s="6">
        <v>252967</v>
      </c>
      <c r="T14" s="6">
        <v>221040</v>
      </c>
      <c r="U14" s="6">
        <v>18128</v>
      </c>
      <c r="V14" s="6">
        <v>13799</v>
      </c>
      <c r="W14" s="6">
        <v>4591</v>
      </c>
      <c r="X14" s="6">
        <v>8321</v>
      </c>
      <c r="Y14" s="6">
        <v>22755</v>
      </c>
      <c r="Z14" s="6">
        <v>196849</v>
      </c>
      <c r="AA14" s="6">
        <v>189622</v>
      </c>
      <c r="AB14" s="6">
        <v>177277</v>
      </c>
      <c r="AC14" s="6">
        <v>891</v>
      </c>
      <c r="AD14" s="6">
        <v>11454</v>
      </c>
      <c r="AE14" s="6">
        <v>2241</v>
      </c>
      <c r="AF14" s="6">
        <v>4986</v>
      </c>
      <c r="AG14" s="6">
        <v>14655</v>
      </c>
      <c r="AH14" s="6">
        <v>138452</v>
      </c>
      <c r="AI14" s="6">
        <v>132116</v>
      </c>
      <c r="AJ14" s="6">
        <v>120503</v>
      </c>
      <c r="AK14" s="6">
        <v>11613</v>
      </c>
      <c r="AL14" s="6">
        <v>834</v>
      </c>
      <c r="AM14" s="6">
        <v>5502</v>
      </c>
      <c r="AN14" s="6">
        <v>5281</v>
      </c>
      <c r="AO14" s="6">
        <v>79846</v>
      </c>
      <c r="AP14" s="6">
        <v>75049</v>
      </c>
      <c r="AQ14" s="6">
        <v>74465</v>
      </c>
      <c r="AR14" s="6">
        <v>584</v>
      </c>
      <c r="AS14" s="6">
        <v>500</v>
      </c>
      <c r="AT14" s="6">
        <v>4297</v>
      </c>
      <c r="AU14" s="6">
        <v>4286</v>
      </c>
      <c r="AV14" s="6">
        <v>54708</v>
      </c>
      <c r="AW14" s="6">
        <v>52445</v>
      </c>
      <c r="AX14" s="6">
        <v>384</v>
      </c>
      <c r="AY14" s="6">
        <v>1879</v>
      </c>
      <c r="AZ14" s="6">
        <v>6</v>
      </c>
      <c r="BA14" s="6">
        <v>24717</v>
      </c>
      <c r="BB14" s="6">
        <v>23074</v>
      </c>
      <c r="BC14" s="6">
        <v>186</v>
      </c>
      <c r="BD14" s="6">
        <v>1457</v>
      </c>
      <c r="BE14" s="6">
        <v>1</v>
      </c>
      <c r="BF14" s="6">
        <v>162427</v>
      </c>
      <c r="BG14" s="6">
        <v>160839</v>
      </c>
      <c r="BH14" s="6">
        <v>417</v>
      </c>
      <c r="BI14" s="6">
        <v>1171</v>
      </c>
      <c r="BJ14" s="6">
        <v>8073</v>
      </c>
      <c r="BK14" s="6">
        <v>4727</v>
      </c>
      <c r="BL14" s="6">
        <v>4078</v>
      </c>
      <c r="BM14" s="6">
        <v>204</v>
      </c>
      <c r="BN14" s="6">
        <v>445</v>
      </c>
      <c r="BO14" s="6">
        <v>4</v>
      </c>
      <c r="BP14" s="6">
        <v>25060</v>
      </c>
      <c r="BQ14" s="6">
        <v>22980</v>
      </c>
      <c r="BR14" s="6">
        <v>134</v>
      </c>
      <c r="BS14" s="6">
        <v>1946</v>
      </c>
      <c r="BT14" s="6">
        <v>4</v>
      </c>
      <c r="BU14" s="6">
        <v>275</v>
      </c>
      <c r="BV14" s="6">
        <v>0</v>
      </c>
      <c r="BW14" s="6">
        <v>275</v>
      </c>
      <c r="BX14" s="6">
        <v>0</v>
      </c>
      <c r="BY14" s="6">
        <v>0</v>
      </c>
      <c r="BZ14" s="6">
        <v>95.2964494878173</v>
      </c>
      <c r="CA14" s="6">
        <v>-1.1472590745947</v>
      </c>
      <c r="CB14" s="6">
        <v>-1.20895190715479</v>
      </c>
      <c r="CC14" s="6">
        <v>1.64550791750597</v>
      </c>
      <c r="CD14" s="6">
        <v>2.98241589666024</v>
      </c>
      <c r="CE14" s="6">
        <v>92.3601477494944</v>
      </c>
      <c r="CF14" s="6">
        <v>83.3969729033445</v>
      </c>
      <c r="CG14" s="6">
        <v>76.913215539825</v>
      </c>
      <c r="CH14" s="6">
        <v>70.5546913642196</v>
      </c>
      <c r="CI14" s="6">
        <v>-0.908652512038988</v>
      </c>
      <c r="CJ14" s="6">
        <v>-1.01898911118916</v>
      </c>
      <c r="CK14" s="6">
        <v>0.803220048601802</v>
      </c>
      <c r="CL14" s="6">
        <v>1.78708396355582</v>
      </c>
      <c r="CM14" s="6">
        <v>74.0740585983854</v>
      </c>
      <c r="CN14" s="6">
        <v>4.09900170216681</v>
      </c>
      <c r="CO14" s="6">
        <v>63.8425951730673</v>
      </c>
      <c r="CP14" s="6">
        <v>96.4257856028527</v>
      </c>
      <c r="CQ14" s="6">
        <v>1.8001951701522</v>
      </c>
      <c r="CR14" s="6">
        <v>-0.871266993536879</v>
      </c>
      <c r="CS14" s="6">
        <v>0.580844662357923</v>
      </c>
      <c r="CT14" s="6">
        <v>3.83190327613105</v>
      </c>
      <c r="CU14" s="6">
        <v>92.1410602457544</v>
      </c>
      <c r="CV14" s="6">
        <v>90.7053034445052</v>
      </c>
      <c r="CW14" s="6">
        <v>55.6092600846891</v>
      </c>
      <c r="CX14" s="6">
        <v>0.447471711470215</v>
      </c>
      <c r="CY14" s="6">
        <v>-1.74044461778471</v>
      </c>
      <c r="CZ14" s="6">
        <v>0.348228214842879</v>
      </c>
      <c r="DA14" s="6">
        <v>2.99267327835971</v>
      </c>
      <c r="DB14" s="6">
        <v>56.9386990464976</v>
      </c>
      <c r="DC14" s="6">
        <v>4.56143091462938</v>
      </c>
      <c r="DD14" s="6">
        <v>90.836335862653</v>
      </c>
      <c r="DE14" s="6">
        <v>-1.9597311548856</v>
      </c>
      <c r="DF14" s="6">
        <v>-3.14310857256712</v>
      </c>
      <c r="DG14" s="6">
        <v>0.637587792850383</v>
      </c>
      <c r="DH14" s="6">
        <v>3.11986318428612</v>
      </c>
      <c r="DI14" s="6">
        <v>45.1798640052643</v>
      </c>
      <c r="DJ14" s="6">
        <v>0.302235377188781</v>
      </c>
      <c r="DK14" s="6">
        <v>0.394436185967834</v>
      </c>
      <c r="DL14" s="6">
        <v>0.339986839219127</v>
      </c>
      <c r="DM14" s="6">
        <v>2.66323024054983</v>
      </c>
      <c r="DN14" s="6">
        <v>95.957913144167</v>
      </c>
      <c r="DO14" s="6">
        <v>5.60199860534467</v>
      </c>
      <c r="DP14" s="6">
        <v>-0.385776485948408</v>
      </c>
      <c r="DQ14" s="6">
        <v>0.246353437427999</v>
      </c>
      <c r="DR14" s="6">
        <v>0.691798261938099</v>
      </c>
      <c r="DS14" s="6">
        <v>105.208101491209</v>
      </c>
      <c r="DT14" s="6">
        <v>-0.136316561048</v>
      </c>
      <c r="DU14" s="6">
        <v>-1.46895170264858</v>
      </c>
      <c r="DV14" s="6">
        <v>4.54039617182284</v>
      </c>
      <c r="DW14" s="6">
        <v>9.90429557088805</v>
      </c>
      <c r="DX14" s="6">
        <v>99.5748400683435</v>
      </c>
      <c r="DY14" s="6">
        <v>-5.56285744858657</v>
      </c>
      <c r="DZ14" s="6">
        <v>-0.949656295943113</v>
      </c>
      <c r="EA14" s="6">
        <v>0.532443278896968</v>
      </c>
      <c r="EB14" s="6">
        <v>7.73234791592164</v>
      </c>
      <c r="EC14" s="6" t="e">
        <v>#DIV/0!</v>
      </c>
      <c r="ED14" s="6" t="e">
        <v>#NUM!</v>
      </c>
      <c r="EE14" s="6" t="e">
        <v>#NUM!</v>
      </c>
      <c r="EF14" s="6" t="e">
        <v>#DIV/0!</v>
      </c>
      <c r="EG14" s="6">
        <v>0</v>
      </c>
      <c r="EH14" s="6">
        <v>178667371.232834</v>
      </c>
      <c r="EI14" s="6">
        <v>143451704.883094</v>
      </c>
      <c r="EJ14" s="6">
        <v>23124228.35117</v>
      </c>
      <c r="EK14" s="6">
        <v>4151061.386969</v>
      </c>
      <c r="EL14" s="6">
        <v>7940376.611601</v>
      </c>
      <c r="EM14" s="6">
        <v>63816942.137119</v>
      </c>
      <c r="EN14" s="6">
        <v>60881414.27326</v>
      </c>
      <c r="EO14" s="6">
        <v>2379820.99712</v>
      </c>
      <c r="EP14" s="6">
        <v>555706.866739</v>
      </c>
      <c r="EQ14" s="6">
        <v>4501545.818417</v>
      </c>
      <c r="ER14" s="6">
        <v>67377595.192761</v>
      </c>
      <c r="ES14" s="6">
        <v>51899077.92287</v>
      </c>
      <c r="ET14" s="6">
        <v>36959184.128165</v>
      </c>
      <c r="EU14" s="6">
        <v>50670168.231451</v>
      </c>
      <c r="EV14" s="6">
        <v>314363454.381131</v>
      </c>
      <c r="EW14" s="6">
        <v>88858262.051035</v>
      </c>
      <c r="EX14" s="6">
        <v>50670168.231451</v>
      </c>
      <c r="EY14" s="6">
        <v>360772210.593617</v>
      </c>
      <c r="EZ14" s="6">
        <v>93119857.56</v>
      </c>
      <c r="FA14" s="6">
        <v>-183.49</v>
      </c>
      <c r="FB14" s="6">
        <v>120727147.61</v>
      </c>
      <c r="FC14" s="6">
        <v>114089376.43</v>
      </c>
      <c r="FD14" s="6">
        <v>95579449.01</v>
      </c>
      <c r="FE14" s="6">
        <v>15250000.15</v>
      </c>
      <c r="FF14" s="6">
        <v>3259927.27</v>
      </c>
      <c r="FG14" s="6">
        <v>4364797.19</v>
      </c>
      <c r="FH14" s="6">
        <v>2272973.99</v>
      </c>
      <c r="FI14" s="6">
        <v>38718717.51</v>
      </c>
      <c r="FJ14" s="6">
        <v>44641430.55</v>
      </c>
      <c r="FK14" s="6">
        <v>43337358.04</v>
      </c>
      <c r="FL14" s="6">
        <v>41844078.93</v>
      </c>
      <c r="FM14" s="6">
        <v>1493279.11</v>
      </c>
      <c r="FN14" s="6">
        <v>253010.35</v>
      </c>
      <c r="FO14" s="6">
        <v>1051062.16</v>
      </c>
      <c r="FP14" s="6">
        <v>9468450.64</v>
      </c>
      <c r="FQ14" s="6">
        <v>3032359.38</v>
      </c>
      <c r="FR14" s="6">
        <v>2940672.93</v>
      </c>
      <c r="FS14" s="6">
        <v>26804.73</v>
      </c>
      <c r="FT14" s="6">
        <v>64881.72</v>
      </c>
      <c r="FU14" s="6">
        <v>24318.67</v>
      </c>
      <c r="FV14" s="6">
        <v>40945981.58</v>
      </c>
      <c r="FW14" s="6">
        <v>40718948.59</v>
      </c>
      <c r="FX14" s="6">
        <v>96876.68</v>
      </c>
      <c r="FY14" s="6">
        <v>130156.31</v>
      </c>
      <c r="FZ14" s="6">
        <v>16030678.15</v>
      </c>
      <c r="GA14" s="6">
        <v>37038633.47</v>
      </c>
      <c r="GB14" s="6">
        <v>35374412.18</v>
      </c>
      <c r="GC14" s="6">
        <v>540310.32</v>
      </c>
      <c r="GD14" s="6">
        <v>1123910.97</v>
      </c>
      <c r="GE14" s="6">
        <v>404172.62</v>
      </c>
      <c r="GF14" s="6">
        <v>25495210.52</v>
      </c>
      <c r="GG14" s="6">
        <v>24120939.36</v>
      </c>
      <c r="GH14" s="6">
        <v>392225.2</v>
      </c>
      <c r="GI14" s="6">
        <v>982045.96</v>
      </c>
      <c r="GJ14" s="6">
        <v>1212946.13</v>
      </c>
      <c r="GK14" s="6">
        <v>35502127.62</v>
      </c>
      <c r="GL14" s="6">
        <v>0</v>
      </c>
      <c r="GM14" s="6">
        <v>33814967.44</v>
      </c>
      <c r="GN14" s="6">
        <v>1687160.18</v>
      </c>
      <c r="GO14" s="6">
        <v>19023912.56</v>
      </c>
      <c r="GP14" s="6">
        <v>209346919.12</v>
      </c>
      <c r="GQ14" s="6">
        <v>62533843.99</v>
      </c>
      <c r="GR14" s="6">
        <v>35502127.62</v>
      </c>
      <c r="GS14" s="6">
        <v>242088854.9</v>
      </c>
      <c r="GT14" s="6">
        <v>65294035.83</v>
      </c>
      <c r="GU14" s="6">
        <v>0</v>
      </c>
      <c r="GV14" s="6">
        <v>101.356347365187</v>
      </c>
      <c r="GW14" s="6">
        <v>-0.622549206180456</v>
      </c>
      <c r="GX14" s="6">
        <v>-0.284506735333112</v>
      </c>
      <c r="GY14" s="6">
        <v>3.66446080211696</v>
      </c>
      <c r="GZ14" s="6">
        <v>1.90827287684045</v>
      </c>
      <c r="HA14" s="6">
        <v>99.9424674888589</v>
      </c>
      <c r="HB14" s="6">
        <v>98.922220787716</v>
      </c>
      <c r="HC14" s="6">
        <v>117.798568827489</v>
      </c>
      <c r="HD14" s="6">
        <v>32.50625778185</v>
      </c>
      <c r="HE14" s="6">
        <v>104.928477583779</v>
      </c>
      <c r="HF14" s="6">
        <v>2.39303367698273</v>
      </c>
      <c r="HG14" s="6">
        <v>-0.337572109604168</v>
      </c>
      <c r="HH14" s="6">
        <v>0.594693998632153</v>
      </c>
      <c r="HI14" s="6">
        <v>2.47049323769303</v>
      </c>
      <c r="HJ14" s="6">
        <v>103.095697010718</v>
      </c>
      <c r="HK14" s="6">
        <v>94.1213086072731</v>
      </c>
      <c r="HL14" s="6">
        <v>22.2553376648535</v>
      </c>
      <c r="HM14" s="6">
        <v>101.043935871778</v>
      </c>
      <c r="HN14" s="6">
        <v>-5.59492603873923</v>
      </c>
      <c r="HO14" s="6">
        <v>-0.45400147216319</v>
      </c>
      <c r="HP14" s="6">
        <v>0.893184177655202</v>
      </c>
      <c r="HQ14" s="6">
        <v>2.16198132654405</v>
      </c>
      <c r="HR14" s="6">
        <v>0.810343967860084</v>
      </c>
      <c r="HS14" s="6">
        <v>91.1563735605079</v>
      </c>
      <c r="HT14" s="6">
        <v>-1.38286148385484</v>
      </c>
      <c r="HU14" s="6">
        <v>-0.258725650462666</v>
      </c>
      <c r="HV14" s="6">
        <v>0.215672612808853</v>
      </c>
      <c r="HW14" s="6">
        <v>0.289761699629458</v>
      </c>
      <c r="HX14" s="6">
        <v>35.6884468141177</v>
      </c>
      <c r="HY14" s="6">
        <v>107.049975507402</v>
      </c>
      <c r="HZ14" s="6">
        <v>2.55455611913551</v>
      </c>
      <c r="IA14" s="6">
        <v>0.0282435282107807</v>
      </c>
      <c r="IB14" s="6">
        <v>1.56161826459514</v>
      </c>
      <c r="IC14" s="6">
        <v>3.24835531279661</v>
      </c>
      <c r="ID14" s="6">
        <v>1.16814971337447</v>
      </c>
      <c r="IE14" s="6">
        <v>103.473106027946</v>
      </c>
      <c r="IF14" s="6">
        <v>7.07909752928219</v>
      </c>
      <c r="IG14" s="6">
        <v>-0.151257165450036</v>
      </c>
      <c r="IH14" s="6">
        <v>1.59185819134912</v>
      </c>
      <c r="II14" s="6">
        <v>3.9856641177245</v>
      </c>
      <c r="IJ14" s="6">
        <v>4.92277964981781</v>
      </c>
      <c r="IK14" s="6">
        <v>105.097719799844</v>
      </c>
      <c r="IL14" s="6">
        <v>9.54904050573115</v>
      </c>
      <c r="IM14" s="6">
        <v>-1.19645436305287</v>
      </c>
      <c r="IN14" s="6">
        <v>100.103182859607</v>
      </c>
      <c r="IO14" s="6">
        <v>4.9945369402369</v>
      </c>
      <c r="IP14" s="6">
        <v>56.316901711583</v>
      </c>
      <c r="IQ14" s="6">
        <v>99.8908665443295</v>
      </c>
      <c r="IR14" s="6">
        <v>-0.124863162967977</v>
      </c>
      <c r="IS14" s="6">
        <v>-0.292180625887217</v>
      </c>
      <c r="IT14" s="6">
        <v>105.562233403942</v>
      </c>
      <c r="IU14" s="6">
        <v>4.57152104381061</v>
      </c>
      <c r="IV14" s="6">
        <v>-0.0464169370629319</v>
      </c>
      <c r="IW14" s="6">
        <v>105.097719799844</v>
      </c>
      <c r="IX14" s="6">
        <v>9.54904050573115</v>
      </c>
      <c r="IY14" s="6">
        <v>-1.19645436305287</v>
      </c>
      <c r="IZ14" s="6">
        <v>100.654449452328</v>
      </c>
      <c r="JA14" s="6">
        <v>0.447562018840654</v>
      </c>
      <c r="JB14" s="6">
        <v>-0.277565781088884</v>
      </c>
      <c r="JC14" s="6">
        <v>105.177409320986</v>
      </c>
      <c r="JD14" s="6">
        <v>7.28555610255449</v>
      </c>
      <c r="JE14" s="6">
        <v>-0.606336436956822</v>
      </c>
      <c r="JF14" s="6">
        <v>0</v>
      </c>
      <c r="JG14" s="6" t="e">
        <v>#DIV/0!</v>
      </c>
      <c r="JH14" s="6">
        <v>0</v>
      </c>
      <c r="JI14" s="6">
        <v>26480752.022814</v>
      </c>
      <c r="JJ14" s="6">
        <v>7415604.125876</v>
      </c>
      <c r="JK14" s="6">
        <v>4231070.725377</v>
      </c>
      <c r="JL14" s="6">
        <v>30352549.013217</v>
      </c>
      <c r="JM14" s="6">
        <v>7774893.141019</v>
      </c>
      <c r="JN14" s="6">
        <v>-15.2801690138876</v>
      </c>
      <c r="JO14" s="6">
        <v>25632567.91</v>
      </c>
      <c r="JP14" s="6">
        <v>7792670.75</v>
      </c>
      <c r="JQ14" s="6">
        <v>4084122.78</v>
      </c>
      <c r="JR14" s="6">
        <v>29676968.41</v>
      </c>
      <c r="JS14" s="6">
        <v>9114898.67</v>
      </c>
      <c r="JT14" s="6">
        <v>-1282505.64</v>
      </c>
      <c r="JU14" s="6">
        <v>-2.2246036052092</v>
      </c>
      <c r="JV14" s="6">
        <v>-0.819323931420269</v>
      </c>
      <c r="JW14" s="6">
        <v>0.988964257591868</v>
      </c>
      <c r="JX14" s="6">
        <v>1.05206777839716</v>
      </c>
      <c r="JY14" s="6">
        <v>-0.385412700055427</v>
      </c>
      <c r="JZ14" s="6">
        <v>0.542116906566247</v>
      </c>
      <c r="KA14" s="6">
        <v>-1.77190190528308</v>
      </c>
      <c r="KB14" s="6">
        <v>-0.239832997435243</v>
      </c>
      <c r="KC14" s="6">
        <v>3.51454487974489</v>
      </c>
      <c r="KD14" s="6">
        <v>1.01465367439765</v>
      </c>
      <c r="KE14" s="6">
        <v>-3.36369502213456</v>
      </c>
      <c r="KF14" s="6">
        <v>4.00765807363746e-5</v>
      </c>
    </row>
    <row r="15" s="1" customFormat="1" ht="14.55" customHeight="1" spans="1:292">
      <c r="A15" s="5" t="s">
        <v>51</v>
      </c>
      <c r="B15" s="5" t="s">
        <v>97</v>
      </c>
      <c r="C15" s="5" t="s">
        <v>97</v>
      </c>
      <c r="D15" s="5" t="s">
        <v>97</v>
      </c>
      <c r="E15" s="5" t="s">
        <v>138</v>
      </c>
      <c r="F15" s="6">
        <v>251085</v>
      </c>
      <c r="G15" s="6">
        <v>200328</v>
      </c>
      <c r="H15" s="6">
        <v>17207</v>
      </c>
      <c r="I15" s="6">
        <v>33550</v>
      </c>
      <c r="J15" s="6">
        <v>271306</v>
      </c>
      <c r="K15" s="6">
        <v>213776</v>
      </c>
      <c r="L15" s="6">
        <v>57530</v>
      </c>
      <c r="M15" s="6">
        <v>119400</v>
      </c>
      <c r="N15" s="6">
        <v>190926</v>
      </c>
      <c r="O15" s="6">
        <v>4086</v>
      </c>
      <c r="P15" s="6">
        <v>45276</v>
      </c>
      <c r="Q15" s="6">
        <v>0</v>
      </c>
      <c r="R15" s="6">
        <v>237542</v>
      </c>
      <c r="S15" s="6">
        <v>223260</v>
      </c>
      <c r="T15" s="6">
        <v>181633</v>
      </c>
      <c r="U15" s="6">
        <v>14505</v>
      </c>
      <c r="V15" s="6">
        <v>27122</v>
      </c>
      <c r="W15" s="6">
        <v>4665</v>
      </c>
      <c r="X15" s="6">
        <v>9617</v>
      </c>
      <c r="Y15" s="6">
        <v>26167</v>
      </c>
      <c r="Z15" s="6">
        <v>177144</v>
      </c>
      <c r="AA15" s="6">
        <v>168317</v>
      </c>
      <c r="AB15" s="6">
        <v>143241</v>
      </c>
      <c r="AC15" s="6">
        <v>1094</v>
      </c>
      <c r="AD15" s="6">
        <v>23982</v>
      </c>
      <c r="AE15" s="6">
        <v>2644</v>
      </c>
      <c r="AF15" s="6">
        <v>6183</v>
      </c>
      <c r="AG15" s="6">
        <v>17503</v>
      </c>
      <c r="AH15" s="6">
        <v>257759</v>
      </c>
      <c r="AI15" s="6">
        <v>249539</v>
      </c>
      <c r="AJ15" s="6">
        <v>193911</v>
      </c>
      <c r="AK15" s="6">
        <v>55628</v>
      </c>
      <c r="AL15" s="6">
        <v>2537</v>
      </c>
      <c r="AM15" s="6">
        <v>5683</v>
      </c>
      <c r="AN15" s="6">
        <v>5192</v>
      </c>
      <c r="AO15" s="6">
        <v>106767</v>
      </c>
      <c r="AP15" s="6">
        <v>100286</v>
      </c>
      <c r="AQ15" s="6">
        <v>99813</v>
      </c>
      <c r="AR15" s="6">
        <v>473</v>
      </c>
      <c r="AS15" s="6">
        <v>1788</v>
      </c>
      <c r="AT15" s="6">
        <v>4693</v>
      </c>
      <c r="AU15" s="6">
        <v>4336</v>
      </c>
      <c r="AV15" s="6">
        <v>107766</v>
      </c>
      <c r="AW15" s="6">
        <v>105401</v>
      </c>
      <c r="AX15" s="6">
        <v>479</v>
      </c>
      <c r="AY15" s="6">
        <v>1886</v>
      </c>
      <c r="AZ15" s="6">
        <v>15</v>
      </c>
      <c r="BA15" s="6">
        <v>34459</v>
      </c>
      <c r="BB15" s="6">
        <v>32753</v>
      </c>
      <c r="BC15" s="6">
        <v>262</v>
      </c>
      <c r="BD15" s="6">
        <v>1444</v>
      </c>
      <c r="BE15" s="6">
        <v>2</v>
      </c>
      <c r="BF15" s="6">
        <v>183043</v>
      </c>
      <c r="BG15" s="6">
        <v>181505</v>
      </c>
      <c r="BH15" s="6">
        <v>570</v>
      </c>
      <c r="BI15" s="6">
        <v>968</v>
      </c>
      <c r="BJ15" s="6">
        <v>8056</v>
      </c>
      <c r="BK15" s="6">
        <v>4335</v>
      </c>
      <c r="BL15" s="6">
        <v>3714</v>
      </c>
      <c r="BM15" s="6">
        <v>66</v>
      </c>
      <c r="BN15" s="6">
        <v>555</v>
      </c>
      <c r="BO15" s="6">
        <v>32</v>
      </c>
      <c r="BP15" s="6">
        <v>41436</v>
      </c>
      <c r="BQ15" s="6">
        <v>38093</v>
      </c>
      <c r="BR15" s="6">
        <v>998</v>
      </c>
      <c r="BS15" s="6">
        <v>2345</v>
      </c>
      <c r="BT15" s="6">
        <v>33</v>
      </c>
      <c r="BU15" s="6">
        <v>183</v>
      </c>
      <c r="BV15" s="6">
        <v>0</v>
      </c>
      <c r="BW15" s="6">
        <v>183</v>
      </c>
      <c r="BX15" s="6">
        <v>0</v>
      </c>
      <c r="BY15" s="6">
        <v>0</v>
      </c>
      <c r="BZ15" s="6">
        <v>94.6062090527112</v>
      </c>
      <c r="CA15" s="6">
        <v>-0.594922060878067</v>
      </c>
      <c r="CB15" s="6">
        <v>-0.531692454746402</v>
      </c>
      <c r="CC15" s="6">
        <v>1.85793655534978</v>
      </c>
      <c r="CD15" s="6">
        <v>3.8301770316825</v>
      </c>
      <c r="CE15" s="6">
        <v>90.6678048001278</v>
      </c>
      <c r="CF15" s="6">
        <v>84.2970883942581</v>
      </c>
      <c r="CG15" s="6">
        <v>80.8405365126677</v>
      </c>
      <c r="CH15" s="6">
        <v>70.5514068940797</v>
      </c>
      <c r="CI15" s="6">
        <v>0.3375308386392</v>
      </c>
      <c r="CJ15" s="6">
        <v>-0.696975127944721</v>
      </c>
      <c r="CK15" s="6">
        <v>1.05302985044905</v>
      </c>
      <c r="CL15" s="6">
        <v>2.46251269490412</v>
      </c>
      <c r="CM15" s="6">
        <v>71.5032346951</v>
      </c>
      <c r="CN15" s="6">
        <v>6.35787760795025</v>
      </c>
      <c r="CO15" s="6">
        <v>71.4813710879285</v>
      </c>
      <c r="CP15" s="6">
        <v>95.0067451512315</v>
      </c>
      <c r="CQ15" s="6">
        <v>-0.0466604939937332</v>
      </c>
      <c r="CR15" s="6">
        <v>-0.698841898078184</v>
      </c>
      <c r="CS15" s="6">
        <v>0.935106484928457</v>
      </c>
      <c r="CT15" s="6">
        <v>2.09468275673962</v>
      </c>
      <c r="CU15" s="6">
        <v>90.7075630566574</v>
      </c>
      <c r="CV15" s="6">
        <v>96.6938988353902</v>
      </c>
      <c r="CW15" s="6">
        <v>39.3529815042793</v>
      </c>
      <c r="CX15" s="6">
        <v>-3.2159632750758</v>
      </c>
      <c r="CY15" s="6">
        <v>-4.8808356615777</v>
      </c>
      <c r="CZ15" s="6">
        <v>0.659034448187655</v>
      </c>
      <c r="DA15" s="6">
        <v>1.7297811327431</v>
      </c>
      <c r="DB15" s="6">
        <v>46.6904610433351</v>
      </c>
      <c r="DC15" s="6">
        <v>0.822179732313576</v>
      </c>
      <c r="DD15" s="6">
        <v>90.2562814070352</v>
      </c>
      <c r="DE15" s="6">
        <v>-7.26302163899335</v>
      </c>
      <c r="DF15" s="6">
        <v>-1.99916247906198</v>
      </c>
      <c r="DG15" s="6">
        <v>0.401172529313233</v>
      </c>
      <c r="DH15" s="6">
        <v>1.57956448911223</v>
      </c>
      <c r="DI15" s="6">
        <v>31.9757622997977</v>
      </c>
      <c r="DJ15" s="6">
        <v>-0.908206513444565</v>
      </c>
      <c r="DK15" s="6">
        <v>0.488648921133489</v>
      </c>
      <c r="DL15" s="6">
        <v>0.243119351186831</v>
      </c>
      <c r="DM15" s="6">
        <v>1.3399402408923</v>
      </c>
      <c r="DN15" s="6">
        <v>95.8711752197186</v>
      </c>
      <c r="DO15" s="6">
        <v>0.0600965480656135</v>
      </c>
      <c r="DP15" s="6">
        <v>-0.739553544305127</v>
      </c>
      <c r="DQ15" s="6">
        <v>0.298544986015524</v>
      </c>
      <c r="DR15" s="6">
        <v>0.507002713093031</v>
      </c>
      <c r="DS15" s="6">
        <v>106.093979441997</v>
      </c>
      <c r="DT15" s="6">
        <v>13.4864206114765</v>
      </c>
      <c r="DU15" s="6">
        <v>-1.15026921194323</v>
      </c>
      <c r="DV15" s="6">
        <v>1.61527165932452</v>
      </c>
      <c r="DW15" s="6">
        <v>13.582966226138</v>
      </c>
      <c r="DX15" s="6">
        <v>91.5186853962364</v>
      </c>
      <c r="DY15" s="6">
        <v>-13.689970304004</v>
      </c>
      <c r="DZ15" s="6">
        <v>-0.269458432723735</v>
      </c>
      <c r="EA15" s="6">
        <v>2.20425832670731</v>
      </c>
      <c r="EB15" s="6">
        <v>5.17934446505875</v>
      </c>
      <c r="EC15" s="6" t="e">
        <v>#DIV/0!</v>
      </c>
      <c r="ED15" s="6" t="e">
        <v>#NUM!</v>
      </c>
      <c r="EE15" s="6" t="e">
        <v>#NUM!</v>
      </c>
      <c r="EF15" s="6" t="e">
        <v>#DIV/0!</v>
      </c>
      <c r="EG15" s="6">
        <v>0</v>
      </c>
      <c r="EH15" s="6">
        <v>184325725.16847</v>
      </c>
      <c r="EI15" s="6">
        <v>140923215.735613</v>
      </c>
      <c r="EJ15" s="6">
        <v>23695430.609998</v>
      </c>
      <c r="EK15" s="6">
        <v>10888742.339265</v>
      </c>
      <c r="EL15" s="6">
        <v>8818336.483594</v>
      </c>
      <c r="EM15" s="6">
        <v>73343938.776244</v>
      </c>
      <c r="EN15" s="6">
        <v>69635296.287244</v>
      </c>
      <c r="EO15" s="6">
        <v>1777262.107117</v>
      </c>
      <c r="EP15" s="6">
        <v>1931380.381883</v>
      </c>
      <c r="EQ15" s="6">
        <v>6654312.285635</v>
      </c>
      <c r="ER15" s="6">
        <v>66719041.708885</v>
      </c>
      <c r="ES15" s="6">
        <v>81875406.497112</v>
      </c>
      <c r="ET15" s="6">
        <v>89419015.474697</v>
      </c>
      <c r="EU15" s="6">
        <v>48598703.044246</v>
      </c>
      <c r="EV15" s="6">
        <v>331043017.939234</v>
      </c>
      <c r="EW15" s="6">
        <v>171294421.971809</v>
      </c>
      <c r="EX15" s="6">
        <v>48598703.044246</v>
      </c>
      <c r="EY15" s="6">
        <v>404909485.695289</v>
      </c>
      <c r="EZ15" s="6">
        <v>146026657.26</v>
      </c>
      <c r="FA15" s="6">
        <v>0</v>
      </c>
      <c r="FB15" s="6">
        <v>129936350.47</v>
      </c>
      <c r="FC15" s="6">
        <v>121423390.05</v>
      </c>
      <c r="FD15" s="6">
        <v>96303504.52</v>
      </c>
      <c r="FE15" s="6">
        <v>16107408.31</v>
      </c>
      <c r="FF15" s="6">
        <v>9012477.22</v>
      </c>
      <c r="FG15" s="6">
        <v>5513514.87</v>
      </c>
      <c r="FH15" s="6">
        <v>2999445.55</v>
      </c>
      <c r="FI15" s="6">
        <v>53125253.37</v>
      </c>
      <c r="FJ15" s="6">
        <v>47466212.22</v>
      </c>
      <c r="FK15" s="6">
        <v>45534521.9</v>
      </c>
      <c r="FL15" s="6">
        <v>44589817.93</v>
      </c>
      <c r="FM15" s="6">
        <v>944703.97</v>
      </c>
      <c r="FN15" s="6">
        <v>980907.77</v>
      </c>
      <c r="FO15" s="6">
        <v>950782.55</v>
      </c>
      <c r="FP15" s="6">
        <v>8762073.95</v>
      </c>
      <c r="FQ15" s="6">
        <v>4152718.91</v>
      </c>
      <c r="FR15" s="6">
        <v>4062284.84</v>
      </c>
      <c r="FS15" s="6">
        <v>20128.28</v>
      </c>
      <c r="FT15" s="6">
        <v>70305.79</v>
      </c>
      <c r="FU15" s="6">
        <v>42809.18</v>
      </c>
      <c r="FV15" s="6">
        <v>41228825.84</v>
      </c>
      <c r="FW15" s="6">
        <v>40908272.25</v>
      </c>
      <c r="FX15" s="6">
        <v>158258.55</v>
      </c>
      <c r="FY15" s="6">
        <v>162295.04</v>
      </c>
      <c r="FZ15" s="6">
        <v>13751113.68</v>
      </c>
      <c r="GA15" s="6">
        <v>52314730.34</v>
      </c>
      <c r="GB15" s="6">
        <v>49530193.92</v>
      </c>
      <c r="GC15" s="6">
        <v>1572867.9</v>
      </c>
      <c r="GD15" s="6">
        <v>1211668.52</v>
      </c>
      <c r="GE15" s="6">
        <v>8044706.95</v>
      </c>
      <c r="GF15" s="6">
        <v>49660606.37</v>
      </c>
      <c r="GG15" s="6">
        <v>45238795.21</v>
      </c>
      <c r="GH15" s="6">
        <v>881575.6</v>
      </c>
      <c r="GI15" s="6">
        <v>3540235.56</v>
      </c>
      <c r="GJ15" s="6">
        <v>4145683.08</v>
      </c>
      <c r="GK15" s="6">
        <v>27072975.88</v>
      </c>
      <c r="GL15" s="6">
        <v>0</v>
      </c>
      <c r="GM15" s="6">
        <v>26111265.48</v>
      </c>
      <c r="GN15" s="6">
        <v>961710.4</v>
      </c>
      <c r="GO15" s="6">
        <v>16216172.26</v>
      </c>
      <c r="GP15" s="6">
        <v>222784107.44</v>
      </c>
      <c r="GQ15" s="6">
        <v>101975336.71</v>
      </c>
      <c r="GR15" s="6">
        <v>27072975.88</v>
      </c>
      <c r="GS15" s="6">
        <v>267692636.52</v>
      </c>
      <c r="GT15" s="6">
        <v>84139783.51</v>
      </c>
      <c r="GU15" s="6">
        <v>0</v>
      </c>
      <c r="GV15" s="6">
        <v>105.739188345447</v>
      </c>
      <c r="GW15" s="6">
        <v>0.83428284852919</v>
      </c>
      <c r="GX15" s="6">
        <v>-0.19903760372746</v>
      </c>
      <c r="GY15" s="6">
        <v>4.48677052399557</v>
      </c>
      <c r="GZ15" s="6">
        <v>2.44087922121985</v>
      </c>
      <c r="HA15" s="6">
        <v>102.506358534291</v>
      </c>
      <c r="HB15" s="6">
        <v>101.965281250494</v>
      </c>
      <c r="HC15" s="6">
        <v>124.153142840485</v>
      </c>
      <c r="HD15" s="6">
        <v>43.232099036728</v>
      </c>
      <c r="HE15" s="6">
        <v>97.0759404498485</v>
      </c>
      <c r="HF15" s="6">
        <v>1.17221691292876</v>
      </c>
      <c r="HG15" s="6">
        <v>-0.274128401743245</v>
      </c>
      <c r="HH15" s="6">
        <v>2.0061121335313</v>
      </c>
      <c r="HI15" s="6">
        <v>1.94450127549181</v>
      </c>
      <c r="HJ15" s="6">
        <v>96.0500356300662</v>
      </c>
      <c r="HK15" s="6">
        <v>79.7325250634353</v>
      </c>
      <c r="HL15" s="6">
        <v>17.9198324282756</v>
      </c>
      <c r="HM15" s="6">
        <v>93.6096488655488</v>
      </c>
      <c r="HN15" s="6">
        <v>-11.3613315569378</v>
      </c>
      <c r="HO15" s="6">
        <v>-0.73436624964115</v>
      </c>
      <c r="HP15" s="6">
        <v>0.453727127672951</v>
      </c>
      <c r="HQ15" s="6">
        <v>1.5848171903152</v>
      </c>
      <c r="HR15" s="6">
        <v>0.964994837086644</v>
      </c>
      <c r="HS15" s="6">
        <v>92.692036899811</v>
      </c>
      <c r="HT15" s="6">
        <v>-0.758104831336614</v>
      </c>
      <c r="HU15" s="6">
        <v>-0.321462659266174</v>
      </c>
      <c r="HV15" s="6">
        <v>0.35580221016332</v>
      </c>
      <c r="HW15" s="6">
        <v>0.364877183131934</v>
      </c>
      <c r="HX15" s="6">
        <v>30.9157175997825</v>
      </c>
      <c r="HY15" s="6">
        <v>95.8433049279187</v>
      </c>
      <c r="HZ15" s="6">
        <v>1.46356764395915</v>
      </c>
      <c r="IA15" s="6">
        <v>-0.307577453076681</v>
      </c>
      <c r="IB15" s="6">
        <v>2.88157573920958</v>
      </c>
      <c r="IC15" s="6">
        <v>2.21983970249248</v>
      </c>
      <c r="ID15" s="6">
        <v>14.7383212386563</v>
      </c>
      <c r="IE15" s="6">
        <v>83.3054458937526</v>
      </c>
      <c r="IF15" s="6">
        <v>-21.360397087898</v>
      </c>
      <c r="IG15" s="6">
        <v>-1.96530747318361</v>
      </c>
      <c r="IH15" s="6">
        <v>1.4788391406235</v>
      </c>
      <c r="II15" s="6">
        <v>5.93872937630663</v>
      </c>
      <c r="IJ15" s="6">
        <v>6.95436489318054</v>
      </c>
      <c r="IK15" s="6">
        <v>83.5607974620798</v>
      </c>
      <c r="IL15" s="6">
        <v>-18.734742375292</v>
      </c>
      <c r="IM15" s="6">
        <v>-2.28873707447099</v>
      </c>
      <c r="IN15" s="6">
        <v>80.5924762731653</v>
      </c>
      <c r="IO15" s="6">
        <v>2.96832118891452</v>
      </c>
      <c r="IP15" s="6">
        <v>50.0512500670117</v>
      </c>
      <c r="IQ15" s="6">
        <v>100.946445945385</v>
      </c>
      <c r="IR15" s="6">
        <v>0.582512635704712</v>
      </c>
      <c r="IS15" s="6">
        <v>-0.251108725395233</v>
      </c>
      <c r="IT15" s="6">
        <v>89.2982989779866</v>
      </c>
      <c r="IU15" s="6">
        <v>-10.1620879934812</v>
      </c>
      <c r="IV15" s="6">
        <v>-1.17294472315165</v>
      </c>
      <c r="IW15" s="6">
        <v>83.5607974620798</v>
      </c>
      <c r="IX15" s="6">
        <v>-18.734742375292</v>
      </c>
      <c r="IY15" s="6">
        <v>-2.28873707447099</v>
      </c>
      <c r="IZ15" s="6">
        <v>99.1675841059882</v>
      </c>
      <c r="JA15" s="6">
        <v>0.508898745256625</v>
      </c>
      <c r="JB15" s="6">
        <v>-0.516824435284265</v>
      </c>
      <c r="JC15" s="6">
        <v>86.4292024710831</v>
      </c>
      <c r="JD15" s="6">
        <v>-18.4912968562684</v>
      </c>
      <c r="JE15" s="6">
        <v>-1.27380314852052</v>
      </c>
      <c r="JF15" s="6">
        <v>0</v>
      </c>
      <c r="JG15" s="6">
        <v>0</v>
      </c>
      <c r="JH15" s="6">
        <v>0</v>
      </c>
      <c r="JI15" s="6">
        <v>27968331.483837</v>
      </c>
      <c r="JJ15" s="6">
        <v>14289082.870578</v>
      </c>
      <c r="JK15" s="6">
        <v>5537617.86401</v>
      </c>
      <c r="JL15" s="6">
        <v>35613568.599902</v>
      </c>
      <c r="JM15" s="6">
        <v>12181463.609153</v>
      </c>
      <c r="JN15" s="6">
        <v>0.009369996</v>
      </c>
      <c r="JO15" s="6">
        <v>27363101.32</v>
      </c>
      <c r="JP15" s="6">
        <v>11574890.24</v>
      </c>
      <c r="JQ15" s="6">
        <v>2735282.34</v>
      </c>
      <c r="JR15" s="6">
        <v>32240854.72</v>
      </c>
      <c r="JS15" s="6">
        <v>9844800.25</v>
      </c>
      <c r="JT15" s="6">
        <v>-412381.07</v>
      </c>
      <c r="JU15" s="6">
        <v>-1.26630349587605</v>
      </c>
      <c r="JV15" s="6">
        <v>-0.251737572405315</v>
      </c>
      <c r="JW15" s="6">
        <v>-5.67881745151681</v>
      </c>
      <c r="JX15" s="6">
        <v>-3.22662358460237</v>
      </c>
      <c r="JY15" s="6">
        <v>-5.86323597649904</v>
      </c>
      <c r="JZ15" s="6">
        <v>-4.50568977371633</v>
      </c>
      <c r="KA15" s="6">
        <v>-7.05662016187912</v>
      </c>
      <c r="KB15" s="6">
        <v>-4.5025370525274</v>
      </c>
      <c r="KC15" s="6">
        <v>-4.88892516794291</v>
      </c>
      <c r="KD15" s="6">
        <v>-3.48151385859205</v>
      </c>
      <c r="KE15" s="6">
        <v>-0.86281159406986</v>
      </c>
      <c r="KF15" s="6">
        <v>-1.9604539562e-8</v>
      </c>
    </row>
    <row r="16" s="1" customFormat="1" ht="14.55" customHeight="1" spans="1:292">
      <c r="A16" s="5" t="s">
        <v>55</v>
      </c>
      <c r="B16" s="5" t="s">
        <v>97</v>
      </c>
      <c r="C16" s="5" t="s">
        <v>97</v>
      </c>
      <c r="D16" s="5" t="s">
        <v>97</v>
      </c>
      <c r="E16" s="5" t="s">
        <v>138</v>
      </c>
      <c r="F16" s="6">
        <v>93775</v>
      </c>
      <c r="G16" s="6">
        <v>70142</v>
      </c>
      <c r="H16" s="6">
        <v>9974</v>
      </c>
      <c r="I16" s="6">
        <v>13659</v>
      </c>
      <c r="J16" s="6">
        <v>47518</v>
      </c>
      <c r="K16" s="6">
        <v>43804</v>
      </c>
      <c r="L16" s="6">
        <v>3714</v>
      </c>
      <c r="M16" s="6">
        <v>30633</v>
      </c>
      <c r="N16" s="6">
        <v>90957</v>
      </c>
      <c r="O16" s="6">
        <v>1701</v>
      </c>
      <c r="P16" s="6">
        <v>23061</v>
      </c>
      <c r="Q16" s="6">
        <v>0</v>
      </c>
      <c r="R16" s="6">
        <v>89537</v>
      </c>
      <c r="S16" s="6">
        <v>82244</v>
      </c>
      <c r="T16" s="6">
        <v>62963</v>
      </c>
      <c r="U16" s="6">
        <v>8656</v>
      </c>
      <c r="V16" s="6">
        <v>10625</v>
      </c>
      <c r="W16" s="6">
        <v>2299</v>
      </c>
      <c r="X16" s="6">
        <v>4994</v>
      </c>
      <c r="Y16" s="6">
        <v>6988</v>
      </c>
      <c r="Z16" s="6">
        <v>56965</v>
      </c>
      <c r="AA16" s="6">
        <v>54158</v>
      </c>
      <c r="AB16" s="6">
        <v>44633</v>
      </c>
      <c r="AC16" s="6">
        <v>360</v>
      </c>
      <c r="AD16" s="6">
        <v>9165</v>
      </c>
      <c r="AE16" s="6">
        <v>739</v>
      </c>
      <c r="AF16" s="6">
        <v>2068</v>
      </c>
      <c r="AG16" s="6">
        <v>3963</v>
      </c>
      <c r="AH16" s="6">
        <v>44638</v>
      </c>
      <c r="AI16" s="6">
        <v>42430</v>
      </c>
      <c r="AJ16" s="6">
        <v>39542</v>
      </c>
      <c r="AK16" s="6">
        <v>2888</v>
      </c>
      <c r="AL16" s="6">
        <v>307</v>
      </c>
      <c r="AM16" s="6">
        <v>1901</v>
      </c>
      <c r="AN16" s="6">
        <v>2437</v>
      </c>
      <c r="AO16" s="6">
        <v>30777</v>
      </c>
      <c r="AP16" s="6">
        <v>29065</v>
      </c>
      <c r="AQ16" s="6">
        <v>28879</v>
      </c>
      <c r="AR16" s="6">
        <v>186</v>
      </c>
      <c r="AS16" s="6">
        <v>204</v>
      </c>
      <c r="AT16" s="6">
        <v>1508</v>
      </c>
      <c r="AU16" s="6">
        <v>1844</v>
      </c>
      <c r="AV16" s="6">
        <v>26940</v>
      </c>
      <c r="AW16" s="6">
        <v>26384</v>
      </c>
      <c r="AX16" s="6">
        <v>103</v>
      </c>
      <c r="AY16" s="6">
        <v>453</v>
      </c>
      <c r="AZ16" s="6">
        <v>7</v>
      </c>
      <c r="BA16" s="6">
        <v>11744</v>
      </c>
      <c r="BB16" s="6">
        <v>11355</v>
      </c>
      <c r="BC16" s="6">
        <v>31</v>
      </c>
      <c r="BD16" s="6">
        <v>358</v>
      </c>
      <c r="BE16" s="6">
        <v>2</v>
      </c>
      <c r="BF16" s="6">
        <v>86750</v>
      </c>
      <c r="BG16" s="6">
        <v>85092</v>
      </c>
      <c r="BH16" s="6">
        <v>1186</v>
      </c>
      <c r="BI16" s="6">
        <v>472</v>
      </c>
      <c r="BJ16" s="6">
        <v>2878</v>
      </c>
      <c r="BK16" s="6">
        <v>1669</v>
      </c>
      <c r="BL16" s="6">
        <v>1468</v>
      </c>
      <c r="BM16" s="6">
        <v>96</v>
      </c>
      <c r="BN16" s="6">
        <v>105</v>
      </c>
      <c r="BO16" s="6">
        <v>2</v>
      </c>
      <c r="BP16" s="6">
        <v>22673</v>
      </c>
      <c r="BQ16" s="6">
        <v>19691</v>
      </c>
      <c r="BR16" s="6">
        <v>423</v>
      </c>
      <c r="BS16" s="6">
        <v>2559</v>
      </c>
      <c r="BT16" s="6">
        <v>7</v>
      </c>
      <c r="BU16" s="6">
        <v>968</v>
      </c>
      <c r="BV16" s="6">
        <v>0</v>
      </c>
      <c r="BW16" s="6">
        <v>968</v>
      </c>
      <c r="BX16" s="6">
        <v>0</v>
      </c>
      <c r="BY16" s="6">
        <v>0</v>
      </c>
      <c r="BZ16" s="6">
        <v>95.4806718208478</v>
      </c>
      <c r="CA16" s="6">
        <v>4.53672234526414</v>
      </c>
      <c r="CB16" s="6">
        <v>-0.285790455878432</v>
      </c>
      <c r="CC16" s="6">
        <v>2.45161290322581</v>
      </c>
      <c r="CD16" s="6">
        <v>5.32551319648094</v>
      </c>
      <c r="CE16" s="6">
        <v>89.7650480453936</v>
      </c>
      <c r="CF16" s="6">
        <v>86.7856426709445</v>
      </c>
      <c r="CG16" s="6">
        <v>77.7875393513434</v>
      </c>
      <c r="CH16" s="6">
        <v>60.7464676086377</v>
      </c>
      <c r="CI16" s="6">
        <v>1.52996515315926</v>
      </c>
      <c r="CJ16" s="6">
        <v>-0.714476139696074</v>
      </c>
      <c r="CK16" s="6">
        <v>0.788056518261797</v>
      </c>
      <c r="CL16" s="6">
        <v>2.20527859237537</v>
      </c>
      <c r="CM16" s="6">
        <v>63.6323458127798</v>
      </c>
      <c r="CN16" s="6">
        <v>3.60938439943854</v>
      </c>
      <c r="CO16" s="6">
        <v>67.0986162969471</v>
      </c>
      <c r="CP16" s="6">
        <v>93.9391388526453</v>
      </c>
      <c r="CQ16" s="6">
        <v>-1.91741746764348</v>
      </c>
      <c r="CR16" s="6">
        <v>-2.07921208805085</v>
      </c>
      <c r="CS16" s="6">
        <v>0.6460709625826</v>
      </c>
      <c r="CT16" s="6">
        <v>4.00058925038933</v>
      </c>
      <c r="CU16" s="6">
        <v>90.2702949502329</v>
      </c>
      <c r="CV16" s="6">
        <v>77.7598276790522</v>
      </c>
      <c r="CW16" s="6">
        <v>64.7691401153247</v>
      </c>
      <c r="CX16" s="6">
        <v>-1.34348062767863</v>
      </c>
      <c r="CY16" s="6">
        <v>-0.0063133970284901</v>
      </c>
      <c r="CZ16" s="6">
        <v>0.429310997937624</v>
      </c>
      <c r="DA16" s="6">
        <v>3.17353423965655</v>
      </c>
      <c r="DB16" s="6">
        <v>65.927769153502</v>
      </c>
      <c r="DC16" s="6">
        <v>5.00807754442649</v>
      </c>
      <c r="DD16" s="6">
        <v>87.9443737146215</v>
      </c>
      <c r="DE16" s="6">
        <v>-7.543517258091</v>
      </c>
      <c r="DF16" s="6">
        <v>-1.47226846864493</v>
      </c>
      <c r="DG16" s="6">
        <v>0.336238696830216</v>
      </c>
      <c r="DH16" s="6">
        <v>1.47879737537949</v>
      </c>
      <c r="DI16" s="6">
        <v>43.5931700074239</v>
      </c>
      <c r="DJ16" s="6">
        <v>2.1517864849706</v>
      </c>
      <c r="DK16" s="6">
        <v>0.425706241953494</v>
      </c>
      <c r="DL16" s="6">
        <v>0.115070527097253</v>
      </c>
      <c r="DM16" s="6">
        <v>1.32887899034892</v>
      </c>
      <c r="DN16" s="6">
        <v>95.3747375133305</v>
      </c>
      <c r="DO16" s="6">
        <v>-0.199955001966501</v>
      </c>
      <c r="DP16" s="6">
        <v>-0.626669745044361</v>
      </c>
      <c r="DQ16" s="6">
        <v>1.30391283793441</v>
      </c>
      <c r="DR16" s="6">
        <v>0.518926525720945</v>
      </c>
      <c r="DS16" s="6">
        <v>98.1187536743092</v>
      </c>
      <c r="DT16" s="6">
        <v>-1.1101905724286</v>
      </c>
      <c r="DU16" s="6">
        <v>0.352733686067019</v>
      </c>
      <c r="DV16" s="6">
        <v>5.64373897707231</v>
      </c>
      <c r="DW16" s="6">
        <v>6.17283950617284</v>
      </c>
      <c r="DX16" s="6">
        <v>98.3175057456312</v>
      </c>
      <c r="DY16" s="6">
        <v>-0.596487513637356</v>
      </c>
      <c r="DZ16" s="6">
        <v>1.71718485755171</v>
      </c>
      <c r="EA16" s="6">
        <v>1.83426564329387</v>
      </c>
      <c r="EB16" s="6">
        <v>11.0966566931183</v>
      </c>
      <c r="EC16" s="6" t="e">
        <v>#DIV/0!</v>
      </c>
      <c r="ED16" s="6" t="e">
        <v>#NUM!</v>
      </c>
      <c r="EE16" s="6" t="e">
        <v>#NUM!</v>
      </c>
      <c r="EF16" s="6" t="e">
        <v>#DIV/0!</v>
      </c>
      <c r="EG16" s="6">
        <v>0</v>
      </c>
      <c r="EH16" s="6">
        <v>62999220.627681</v>
      </c>
      <c r="EI16" s="6">
        <v>42858898.832926</v>
      </c>
      <c r="EJ16" s="6">
        <v>10227827.903893</v>
      </c>
      <c r="EK16" s="6">
        <v>5188385.074787</v>
      </c>
      <c r="EL16" s="6">
        <v>4724108.816075</v>
      </c>
      <c r="EM16" s="6">
        <v>25264245.349072</v>
      </c>
      <c r="EN16" s="6">
        <v>23747329.405784</v>
      </c>
      <c r="EO16" s="6">
        <v>775536.136052</v>
      </c>
      <c r="EP16" s="6">
        <v>741379.807236</v>
      </c>
      <c r="EQ16" s="6">
        <v>2419122.932006</v>
      </c>
      <c r="ER16" s="6">
        <v>31620698.973734</v>
      </c>
      <c r="ES16" s="6">
        <v>26277475.722434</v>
      </c>
      <c r="ET16" s="6">
        <v>41784611.430254</v>
      </c>
      <c r="EU16" s="6">
        <v>17870636.230834</v>
      </c>
      <c r="EV16" s="6">
        <v>122303287.882493</v>
      </c>
      <c r="EW16" s="6">
        <v>68062087.152688</v>
      </c>
      <c r="EX16" s="6">
        <v>17870636.230834</v>
      </c>
      <c r="EY16" s="6">
        <v>145453933.396015</v>
      </c>
      <c r="EZ16" s="6">
        <v>62782077.87</v>
      </c>
      <c r="FA16" s="6">
        <v>0</v>
      </c>
      <c r="FB16" s="6">
        <v>42771699.29</v>
      </c>
      <c r="FC16" s="6">
        <v>39327473.54</v>
      </c>
      <c r="FD16" s="6">
        <v>28907143.07</v>
      </c>
      <c r="FE16" s="6">
        <v>6758562.83</v>
      </c>
      <c r="FF16" s="6">
        <v>3661767.64</v>
      </c>
      <c r="FG16" s="6">
        <v>2650651.38</v>
      </c>
      <c r="FH16" s="6">
        <v>793574.37</v>
      </c>
      <c r="FI16" s="6">
        <v>14171000.81</v>
      </c>
      <c r="FJ16" s="6">
        <v>16744960.76</v>
      </c>
      <c r="FK16" s="6">
        <v>16014327.08</v>
      </c>
      <c r="FL16" s="6">
        <v>15456229.35</v>
      </c>
      <c r="FM16" s="6">
        <v>558097.73</v>
      </c>
      <c r="FN16" s="6">
        <v>243454.37</v>
      </c>
      <c r="FO16" s="6">
        <v>487179.31</v>
      </c>
      <c r="FP16" s="6">
        <v>4062697.74</v>
      </c>
      <c r="FQ16" s="6">
        <v>1573327.77</v>
      </c>
      <c r="FR16" s="6">
        <v>1548921.43</v>
      </c>
      <c r="FS16" s="6">
        <v>5357.97</v>
      </c>
      <c r="FT16" s="6">
        <v>19048.37</v>
      </c>
      <c r="FU16" s="6">
        <v>19501.2</v>
      </c>
      <c r="FV16" s="6">
        <v>19542188.2</v>
      </c>
      <c r="FW16" s="6">
        <v>19243151.61</v>
      </c>
      <c r="FX16" s="6">
        <v>243997.69</v>
      </c>
      <c r="FY16" s="6">
        <v>55038.9</v>
      </c>
      <c r="FZ16" s="6">
        <v>6086328.3</v>
      </c>
      <c r="GA16" s="6">
        <v>19016596.6</v>
      </c>
      <c r="GB16" s="6">
        <v>16568613.33</v>
      </c>
      <c r="GC16" s="6">
        <v>2071614.34</v>
      </c>
      <c r="GD16" s="6">
        <v>376368.93</v>
      </c>
      <c r="GE16" s="6">
        <v>1247569.66</v>
      </c>
      <c r="GF16" s="6">
        <v>44265834.7</v>
      </c>
      <c r="GG16" s="6">
        <v>40175639.28</v>
      </c>
      <c r="GH16" s="6">
        <v>1076961.59</v>
      </c>
      <c r="GI16" s="6">
        <v>3013233.83</v>
      </c>
      <c r="GJ16" s="6">
        <v>1374786.72</v>
      </c>
      <c r="GK16" s="6">
        <v>13842280.94</v>
      </c>
      <c r="GL16" s="6">
        <v>0</v>
      </c>
      <c r="GM16" s="6">
        <v>11514809.07</v>
      </c>
      <c r="GN16" s="6">
        <v>2327471.87</v>
      </c>
      <c r="GO16" s="6">
        <v>5864454.22</v>
      </c>
      <c r="GP16" s="6">
        <v>80632176.02</v>
      </c>
      <c r="GQ16" s="6">
        <v>63282431.3</v>
      </c>
      <c r="GR16" s="6">
        <v>13842280.94</v>
      </c>
      <c r="GS16" s="6">
        <v>97807267.51</v>
      </c>
      <c r="GT16" s="6">
        <v>59949620.75</v>
      </c>
      <c r="GU16" s="6">
        <v>0</v>
      </c>
      <c r="GV16" s="6">
        <v>101.838639106608</v>
      </c>
      <c r="GW16" s="6">
        <v>-0.85681748350821</v>
      </c>
      <c r="GX16" s="6">
        <v>0.142931860045237</v>
      </c>
      <c r="GY16" s="6">
        <v>6.31115278948866</v>
      </c>
      <c r="GZ16" s="6">
        <v>1.88948616052715</v>
      </c>
      <c r="HA16" s="6">
        <v>101.170855494982</v>
      </c>
      <c r="HB16" s="6">
        <v>99.1202075383108</v>
      </c>
      <c r="HC16" s="6">
        <v>105.864375539348</v>
      </c>
      <c r="HD16" s="6">
        <v>33.7408955273015</v>
      </c>
      <c r="HE16" s="6">
        <v>99.4189250181684</v>
      </c>
      <c r="HF16" s="6">
        <v>-0.111241170169718</v>
      </c>
      <c r="HG16" s="6">
        <v>-0.31559999533406</v>
      </c>
      <c r="HH16" s="6">
        <v>1.44544810246396</v>
      </c>
      <c r="HI16" s="6">
        <v>2.89250264515359</v>
      </c>
      <c r="HJ16" s="6">
        <v>97.6292686593766</v>
      </c>
      <c r="HK16" s="6">
        <v>107.944240904317</v>
      </c>
      <c r="HL16" s="6">
        <v>24.1212295312982</v>
      </c>
      <c r="HM16" s="6">
        <v>97.5556729166729</v>
      </c>
      <c r="HN16" s="6">
        <v>-10.1937124911028</v>
      </c>
      <c r="HO16" s="6">
        <v>-0.292782941784653</v>
      </c>
      <c r="HP16" s="6">
        <v>0.332225985445706</v>
      </c>
      <c r="HQ16" s="6">
        <v>1.18111215523499</v>
      </c>
      <c r="HR16" s="6">
        <v>1.20919030665976</v>
      </c>
      <c r="HS16" s="6">
        <v>92.7028283731151</v>
      </c>
      <c r="HT16" s="6">
        <v>0.618926491932562</v>
      </c>
      <c r="HU16" s="6">
        <v>-0.664942498231748</v>
      </c>
      <c r="HV16" s="6">
        <v>1.15745871178881</v>
      </c>
      <c r="HW16" s="6">
        <v>0.26108957954591</v>
      </c>
      <c r="HX16" s="6">
        <v>28.8718869168056</v>
      </c>
      <c r="HY16" s="6">
        <v>108.552644863248</v>
      </c>
      <c r="HZ16" s="6">
        <v>10.1353741100532</v>
      </c>
      <c r="IA16" s="6">
        <v>-1.36260951963738</v>
      </c>
      <c r="IB16" s="6">
        <v>11.8254186316195</v>
      </c>
      <c r="IC16" s="6">
        <v>2.14843084991616</v>
      </c>
      <c r="ID16" s="6">
        <v>7.12151543689701</v>
      </c>
      <c r="IE16" s="6">
        <v>158.907190415858</v>
      </c>
      <c r="IF16" s="6">
        <v>51.5397411276932</v>
      </c>
      <c r="IG16" s="6">
        <v>-10.614031798976</v>
      </c>
      <c r="IH16" s="6">
        <v>3.86611800302717</v>
      </c>
      <c r="II16" s="6">
        <v>10.8170223206322</v>
      </c>
      <c r="IJ16" s="6">
        <v>4.93526207235922</v>
      </c>
      <c r="IK16" s="6">
        <v>116.187365361815</v>
      </c>
      <c r="IL16" s="6">
        <v>34.1040238065885</v>
      </c>
      <c r="IM16" s="6">
        <v>-2.17039500275356</v>
      </c>
      <c r="IN16" s="6">
        <v>96.651363621842</v>
      </c>
      <c r="IO16" s="6">
        <v>19.5360017399731</v>
      </c>
      <c r="IP16" s="6">
        <v>49.2242202033199</v>
      </c>
      <c r="IQ16" s="6">
        <v>98.892078965371</v>
      </c>
      <c r="IR16" s="6">
        <v>-0.333914854587736</v>
      </c>
      <c r="IS16" s="6">
        <v>-0.169276106857086</v>
      </c>
      <c r="IT16" s="6">
        <v>139.466259295064</v>
      </c>
      <c r="IU16" s="6">
        <v>35.7840178056292</v>
      </c>
      <c r="IV16" s="6">
        <v>-7.04223383459775</v>
      </c>
      <c r="IW16" s="6">
        <v>116.187365361815</v>
      </c>
      <c r="IX16" s="6">
        <v>34.1040238065885</v>
      </c>
      <c r="IY16" s="6">
        <v>-2.17039500275356</v>
      </c>
      <c r="IZ16" s="6">
        <v>100.864169046266</v>
      </c>
      <c r="JA16" s="6">
        <v>1.18984044992031</v>
      </c>
      <c r="JB16" s="6">
        <v>-0.516437628074505</v>
      </c>
      <c r="JC16" s="6">
        <v>143.232645646425</v>
      </c>
      <c r="JD16" s="6">
        <v>45.6379791410672</v>
      </c>
      <c r="JE16" s="6">
        <v>-7.38555696743552</v>
      </c>
      <c r="JF16" s="6">
        <v>0</v>
      </c>
      <c r="JG16" s="6" t="e">
        <v>#DIV/0!</v>
      </c>
      <c r="JH16" s="6">
        <v>0</v>
      </c>
      <c r="JI16" s="6">
        <v>10399249.668082</v>
      </c>
      <c r="JJ16" s="6">
        <v>5681196.884992</v>
      </c>
      <c r="JK16" s="6">
        <v>1490292.158353</v>
      </c>
      <c r="JL16" s="6">
        <v>12328792.364542</v>
      </c>
      <c r="JM16" s="6">
        <v>5241946.312582</v>
      </c>
      <c r="JN16" s="6">
        <v>0.03430300578475</v>
      </c>
      <c r="JO16" s="6">
        <v>9958254.36</v>
      </c>
      <c r="JP16" s="6">
        <v>5114333.97</v>
      </c>
      <c r="JQ16" s="6">
        <v>1504031.47</v>
      </c>
      <c r="JR16" s="6">
        <v>11787720.78</v>
      </c>
      <c r="JS16" s="6">
        <v>5852558.94</v>
      </c>
      <c r="JT16" s="6">
        <v>-1063659.92</v>
      </c>
      <c r="JU16" s="6">
        <v>-2.50982793224967</v>
      </c>
      <c r="JV16" s="6">
        <v>-1.82250542132155</v>
      </c>
      <c r="JW16" s="6">
        <v>-3.22617577042077</v>
      </c>
      <c r="JX16" s="6">
        <v>12.6864730283555</v>
      </c>
      <c r="JY16" s="6">
        <v>0.0781942744277695</v>
      </c>
      <c r="JZ16" s="6">
        <v>1.36586721303255</v>
      </c>
      <c r="KA16" s="6">
        <v>-3.07939007817648</v>
      </c>
      <c r="KB16" s="6">
        <v>-0.585541265405568</v>
      </c>
      <c r="KC16" s="6">
        <v>3.47516764916032</v>
      </c>
      <c r="KD16" s="6">
        <v>12.8153762807001</v>
      </c>
      <c r="KE16" s="6">
        <v>-6.05358699922652</v>
      </c>
      <c r="KF16" s="6">
        <v>-1.95228022840276e-7</v>
      </c>
    </row>
    <row r="17" s="1" customFormat="1" ht="14.55" customHeight="1" spans="1:292">
      <c r="A17" s="5" t="s">
        <v>52</v>
      </c>
      <c r="B17" s="5" t="s">
        <v>97</v>
      </c>
      <c r="C17" s="5" t="s">
        <v>97</v>
      </c>
      <c r="D17" s="5" t="s">
        <v>97</v>
      </c>
      <c r="E17" s="5" t="s">
        <v>138</v>
      </c>
      <c r="F17" s="6">
        <v>268610</v>
      </c>
      <c r="G17" s="6">
        <v>203221</v>
      </c>
      <c r="H17" s="6">
        <v>23405</v>
      </c>
      <c r="I17" s="6">
        <v>41984</v>
      </c>
      <c r="J17" s="6">
        <v>167160</v>
      </c>
      <c r="K17" s="6">
        <v>158294</v>
      </c>
      <c r="L17" s="6">
        <v>8866</v>
      </c>
      <c r="M17" s="6">
        <v>69800</v>
      </c>
      <c r="N17" s="6">
        <v>188615</v>
      </c>
      <c r="O17" s="6">
        <v>2856</v>
      </c>
      <c r="P17" s="6">
        <v>21260</v>
      </c>
      <c r="Q17" s="6">
        <v>0</v>
      </c>
      <c r="R17" s="6">
        <v>255180</v>
      </c>
      <c r="S17" s="6">
        <v>241785</v>
      </c>
      <c r="T17" s="6">
        <v>185237</v>
      </c>
      <c r="U17" s="6">
        <v>19821</v>
      </c>
      <c r="V17" s="6">
        <v>36727</v>
      </c>
      <c r="W17" s="6">
        <v>5611</v>
      </c>
      <c r="X17" s="6">
        <v>7784</v>
      </c>
      <c r="Y17" s="6">
        <v>24239</v>
      </c>
      <c r="Z17" s="6">
        <v>183909</v>
      </c>
      <c r="AA17" s="6">
        <v>176132</v>
      </c>
      <c r="AB17" s="6">
        <v>144206</v>
      </c>
      <c r="AC17" s="6">
        <v>964</v>
      </c>
      <c r="AD17" s="6">
        <v>30962</v>
      </c>
      <c r="AE17" s="6">
        <v>2842</v>
      </c>
      <c r="AF17" s="6">
        <v>4935</v>
      </c>
      <c r="AG17" s="6">
        <v>14821</v>
      </c>
      <c r="AH17" s="6">
        <v>159532</v>
      </c>
      <c r="AI17" s="6">
        <v>148288</v>
      </c>
      <c r="AJ17" s="6">
        <v>140539</v>
      </c>
      <c r="AK17" s="6">
        <v>7749</v>
      </c>
      <c r="AL17" s="6">
        <v>3242</v>
      </c>
      <c r="AM17" s="6">
        <v>8002</v>
      </c>
      <c r="AN17" s="6">
        <v>5773</v>
      </c>
      <c r="AO17" s="6">
        <v>105322</v>
      </c>
      <c r="AP17" s="6">
        <v>97174</v>
      </c>
      <c r="AQ17" s="6">
        <v>96943</v>
      </c>
      <c r="AR17" s="6">
        <v>231</v>
      </c>
      <c r="AS17" s="6">
        <v>1958</v>
      </c>
      <c r="AT17" s="6">
        <v>6190</v>
      </c>
      <c r="AU17" s="6">
        <v>4660</v>
      </c>
      <c r="AV17" s="6">
        <v>62610</v>
      </c>
      <c r="AW17" s="6">
        <v>59092</v>
      </c>
      <c r="AX17" s="6">
        <v>1637</v>
      </c>
      <c r="AY17" s="6">
        <v>1881</v>
      </c>
      <c r="AZ17" s="6">
        <v>5</v>
      </c>
      <c r="BA17" s="6">
        <v>30187</v>
      </c>
      <c r="BB17" s="6">
        <v>27899</v>
      </c>
      <c r="BC17" s="6">
        <v>870</v>
      </c>
      <c r="BD17" s="6">
        <v>1418</v>
      </c>
      <c r="BE17" s="6">
        <v>4</v>
      </c>
      <c r="BF17" s="6">
        <v>181855</v>
      </c>
      <c r="BG17" s="6">
        <v>179517</v>
      </c>
      <c r="BH17" s="6">
        <v>1019</v>
      </c>
      <c r="BI17" s="6">
        <v>1319</v>
      </c>
      <c r="BJ17" s="6">
        <v>4746</v>
      </c>
      <c r="BK17" s="6">
        <v>2904</v>
      </c>
      <c r="BL17" s="6">
        <v>2476</v>
      </c>
      <c r="BM17" s="6">
        <v>64</v>
      </c>
      <c r="BN17" s="6">
        <v>364</v>
      </c>
      <c r="BO17" s="6">
        <v>5</v>
      </c>
      <c r="BP17" s="6">
        <v>21995</v>
      </c>
      <c r="BQ17" s="6">
        <v>18535</v>
      </c>
      <c r="BR17" s="6">
        <v>896</v>
      </c>
      <c r="BS17" s="6">
        <v>2564</v>
      </c>
      <c r="BT17" s="6">
        <v>9</v>
      </c>
      <c r="BU17" s="6">
        <v>396</v>
      </c>
      <c r="BV17" s="6">
        <v>0</v>
      </c>
      <c r="BW17" s="6">
        <v>396</v>
      </c>
      <c r="BX17" s="6">
        <v>0</v>
      </c>
      <c r="BY17" s="6">
        <v>0</v>
      </c>
      <c r="BZ17" s="6">
        <v>95.0001861434794</v>
      </c>
      <c r="CA17" s="6">
        <v>-0.147027928360022</v>
      </c>
      <c r="CB17" s="6">
        <v>-0.682401995458104</v>
      </c>
      <c r="CC17" s="6">
        <v>2.08890212575853</v>
      </c>
      <c r="CD17" s="6">
        <v>2.8978816872045</v>
      </c>
      <c r="CE17" s="6">
        <v>91.1505208615251</v>
      </c>
      <c r="CF17" s="6">
        <v>84.6870326853236</v>
      </c>
      <c r="CG17" s="6">
        <v>87.4785632621951</v>
      </c>
      <c r="CH17" s="6">
        <v>68.4669223037117</v>
      </c>
      <c r="CI17" s="6">
        <v>-0.167482622333759</v>
      </c>
      <c r="CJ17" s="6">
        <v>-0.672722534529624</v>
      </c>
      <c r="CK17" s="6">
        <v>1.05803953687502</v>
      </c>
      <c r="CL17" s="6">
        <v>1.83723614161796</v>
      </c>
      <c r="CM17" s="6">
        <v>70.9601862012292</v>
      </c>
      <c r="CN17" s="6">
        <v>4.11877803888058</v>
      </c>
      <c r="CO17" s="6">
        <v>73.7471417682927</v>
      </c>
      <c r="CP17" s="6">
        <v>95.4367073462551</v>
      </c>
      <c r="CQ17" s="6">
        <v>2.72883156327988</v>
      </c>
      <c r="CR17" s="6">
        <v>-1.09595597032782</v>
      </c>
      <c r="CS17" s="6">
        <v>1.93945920076573</v>
      </c>
      <c r="CT17" s="6">
        <v>4.78703039004546</v>
      </c>
      <c r="CU17" s="6">
        <v>88.783529382036</v>
      </c>
      <c r="CV17" s="6">
        <v>87.4013083690503</v>
      </c>
      <c r="CW17" s="6">
        <v>63.0067001675042</v>
      </c>
      <c r="CX17" s="6">
        <v>3.52284705696404</v>
      </c>
      <c r="CY17" s="6">
        <v>-3.42605886575735</v>
      </c>
      <c r="CZ17" s="6">
        <v>1.17133285474994</v>
      </c>
      <c r="DA17" s="6">
        <v>3.70303900454654</v>
      </c>
      <c r="DB17" s="6">
        <v>61.2423717892024</v>
      </c>
      <c r="DC17" s="6">
        <v>2.60545905707196</v>
      </c>
      <c r="DD17" s="6">
        <v>89.6991404011461</v>
      </c>
      <c r="DE17" s="6">
        <v>-3.21070717461919</v>
      </c>
      <c r="DF17" s="6">
        <v>-2.40544412607451</v>
      </c>
      <c r="DG17" s="6">
        <v>2.34527220630372</v>
      </c>
      <c r="DH17" s="6">
        <v>2.69484240687679</v>
      </c>
      <c r="DI17" s="6">
        <v>48.2143427567481</v>
      </c>
      <c r="DJ17" s="6">
        <v>2.3569643560886</v>
      </c>
      <c r="DK17" s="6">
        <v>0.85787430957987</v>
      </c>
      <c r="DL17" s="6">
        <v>1.38955438428366</v>
      </c>
      <c r="DM17" s="6">
        <v>2.26481392748762</v>
      </c>
      <c r="DN17" s="6">
        <v>96.4159796410678</v>
      </c>
      <c r="DO17" s="6">
        <v>0.493877693616473</v>
      </c>
      <c r="DP17" s="6">
        <v>-0.335074092728571</v>
      </c>
      <c r="DQ17" s="6">
        <v>0.540253956472179</v>
      </c>
      <c r="DR17" s="6">
        <v>0.699308114412958</v>
      </c>
      <c r="DS17" s="6">
        <v>101.680672268908</v>
      </c>
      <c r="DT17" s="6">
        <v>-4.68608335442451</v>
      </c>
      <c r="DU17" s="6">
        <v>-2.34593837535015</v>
      </c>
      <c r="DV17" s="6">
        <v>2.24089635854342</v>
      </c>
      <c r="DW17" s="6">
        <v>12.7450980392157</v>
      </c>
      <c r="DX17" s="6">
        <v>103.457196613358</v>
      </c>
      <c r="DY17" s="6">
        <v>7.48473029818559</v>
      </c>
      <c r="DZ17" s="6">
        <v>0.432737535277505</v>
      </c>
      <c r="EA17" s="6">
        <v>4.21448730009407</v>
      </c>
      <c r="EB17" s="6">
        <v>12.0602069614299</v>
      </c>
      <c r="EC17" s="6" t="e">
        <v>#DIV/0!</v>
      </c>
      <c r="ED17" s="6" t="e">
        <v>#NUM!</v>
      </c>
      <c r="EE17" s="6" t="e">
        <v>#NUM!</v>
      </c>
      <c r="EF17" s="6" t="e">
        <v>#DIV/0!</v>
      </c>
      <c r="EG17" s="6">
        <v>0</v>
      </c>
      <c r="EH17" s="6">
        <v>188356523.211612</v>
      </c>
      <c r="EI17" s="6">
        <v>135864868.465897</v>
      </c>
      <c r="EJ17" s="6">
        <v>29393461.437477</v>
      </c>
      <c r="EK17" s="6">
        <v>11416616.576917</v>
      </c>
      <c r="EL17" s="6">
        <v>11681576.731321</v>
      </c>
      <c r="EM17" s="6">
        <v>66356442.760737</v>
      </c>
      <c r="EN17" s="6">
        <v>63594731.563577</v>
      </c>
      <c r="EO17" s="6">
        <v>1147139.880547</v>
      </c>
      <c r="EP17" s="6">
        <v>1614571.316613</v>
      </c>
      <c r="EQ17" s="6">
        <v>6392124.656983</v>
      </c>
      <c r="ER17" s="6">
        <v>56344896.378866</v>
      </c>
      <c r="ES17" s="6">
        <v>34720502.722392</v>
      </c>
      <c r="ET17" s="6">
        <v>43882978.214858</v>
      </c>
      <c r="EU17" s="6">
        <v>34558121.164791</v>
      </c>
      <c r="EV17" s="6">
        <v>317449987.008198</v>
      </c>
      <c r="EW17" s="6">
        <v>78603480.93725</v>
      </c>
      <c r="EX17" s="6">
        <v>34558121.164791</v>
      </c>
      <c r="EY17" s="6">
        <v>353822840.520239</v>
      </c>
      <c r="EZ17" s="6">
        <v>76788748.59</v>
      </c>
      <c r="FA17" s="6">
        <v>0</v>
      </c>
      <c r="FB17" s="6">
        <v>130692597.8</v>
      </c>
      <c r="FC17" s="6">
        <v>119924374.64</v>
      </c>
      <c r="FD17" s="6">
        <v>90083265.23</v>
      </c>
      <c r="FE17" s="6">
        <v>19451179.2</v>
      </c>
      <c r="FF17" s="6">
        <v>10389930.21</v>
      </c>
      <c r="FG17" s="6">
        <v>8262803.39</v>
      </c>
      <c r="FH17" s="6">
        <v>2505419.77</v>
      </c>
      <c r="FI17" s="6">
        <v>49524220.99</v>
      </c>
      <c r="FJ17" s="6">
        <v>47197971.07</v>
      </c>
      <c r="FK17" s="6">
        <v>43947482.35</v>
      </c>
      <c r="FL17" s="6">
        <v>43273284.33</v>
      </c>
      <c r="FM17" s="6">
        <v>674198.02</v>
      </c>
      <c r="FN17" s="6">
        <v>1395692.03</v>
      </c>
      <c r="FO17" s="6">
        <v>1854796.69</v>
      </c>
      <c r="FP17" s="6">
        <v>9758430.55</v>
      </c>
      <c r="FQ17" s="6">
        <v>4223703.21</v>
      </c>
      <c r="FR17" s="6">
        <v>3995717.96</v>
      </c>
      <c r="FS17" s="6">
        <v>151437.35</v>
      </c>
      <c r="FT17" s="6">
        <v>76547.9</v>
      </c>
      <c r="FU17" s="6">
        <v>23569.66</v>
      </c>
      <c r="FV17" s="6">
        <v>34315490.45</v>
      </c>
      <c r="FW17" s="6">
        <v>34019796.98</v>
      </c>
      <c r="FX17" s="6">
        <v>144776.17</v>
      </c>
      <c r="FY17" s="6">
        <v>150917.3</v>
      </c>
      <c r="FZ17" s="6">
        <v>8615456.62</v>
      </c>
      <c r="GA17" s="6">
        <v>25890865.38</v>
      </c>
      <c r="GB17" s="6">
        <v>22762840.81</v>
      </c>
      <c r="GC17" s="6">
        <v>1964889.27</v>
      </c>
      <c r="GD17" s="6">
        <v>1163135.3</v>
      </c>
      <c r="GE17" s="6">
        <v>1448318.33</v>
      </c>
      <c r="GF17" s="6">
        <v>32483834.8</v>
      </c>
      <c r="GG17" s="6">
        <v>28148279.51</v>
      </c>
      <c r="GH17" s="6">
        <v>1027243.05</v>
      </c>
      <c r="GI17" s="6">
        <v>3308312.24</v>
      </c>
      <c r="GJ17" s="6">
        <v>3037105.1</v>
      </c>
      <c r="GK17" s="6">
        <v>20577071.93</v>
      </c>
      <c r="GL17" s="6">
        <v>0</v>
      </c>
      <c r="GM17" s="6">
        <v>18205353.73</v>
      </c>
      <c r="GN17" s="6">
        <v>2371718.2</v>
      </c>
      <c r="GO17" s="6">
        <v>7807845.72</v>
      </c>
      <c r="GP17" s="6">
        <v>216429762.53</v>
      </c>
      <c r="GQ17" s="6">
        <v>58374700.18</v>
      </c>
      <c r="GR17" s="6">
        <v>20577071.93</v>
      </c>
      <c r="GS17" s="6">
        <v>237481882.58</v>
      </c>
      <c r="GT17" s="6">
        <v>57899652.06</v>
      </c>
      <c r="GU17" s="6">
        <v>0</v>
      </c>
      <c r="GV17" s="6">
        <v>104.078634154739</v>
      </c>
      <c r="GW17" s="6">
        <v>1.46252407396195</v>
      </c>
      <c r="GX17" s="6">
        <v>-0.187066394693947</v>
      </c>
      <c r="GY17" s="6">
        <v>6.58018361863451</v>
      </c>
      <c r="GZ17" s="6">
        <v>1.99522139765655</v>
      </c>
      <c r="HA17" s="6">
        <v>99.4553627959514</v>
      </c>
      <c r="HB17" s="6">
        <v>99.2627862562634</v>
      </c>
      <c r="HC17" s="6">
        <v>136.510630886131</v>
      </c>
      <c r="HD17" s="6">
        <v>39.4392135819697</v>
      </c>
      <c r="HE17" s="6">
        <v>106.691910626183</v>
      </c>
      <c r="HF17" s="6">
        <v>6.02044966006183</v>
      </c>
      <c r="HG17" s="6">
        <v>-0.541906299691197</v>
      </c>
      <c r="HH17" s="6">
        <v>3.15498835968155</v>
      </c>
      <c r="HI17" s="6">
        <v>4.19280316913887</v>
      </c>
      <c r="HJ17" s="6">
        <v>102.068087873141</v>
      </c>
      <c r="HK17" s="6">
        <v>88.1581267593779</v>
      </c>
      <c r="HL17" s="6">
        <v>22.0591177224182</v>
      </c>
      <c r="HM17" s="6">
        <v>99.115007215618</v>
      </c>
      <c r="HN17" s="6">
        <v>-3.54790194360971</v>
      </c>
      <c r="HO17" s="6">
        <v>-0.183565289673081</v>
      </c>
      <c r="HP17" s="6">
        <v>3.55368578038987</v>
      </c>
      <c r="HQ17" s="6">
        <v>1.79630179575056</v>
      </c>
      <c r="HR17" s="6">
        <v>0.553094501393639</v>
      </c>
      <c r="HS17" s="6">
        <v>91.3538563082827</v>
      </c>
      <c r="HT17" s="6">
        <v>-4.43675101598379</v>
      </c>
      <c r="HU17" s="6">
        <v>-0.872705004918112</v>
      </c>
      <c r="HV17" s="6">
        <v>0.385419565846348</v>
      </c>
      <c r="HW17" s="6">
        <v>0.401768331381491</v>
      </c>
      <c r="HX17" s="6">
        <v>22.9358571237825</v>
      </c>
      <c r="HY17" s="6">
        <v>111.854077633944</v>
      </c>
      <c r="HZ17" s="6">
        <v>4.633988298535</v>
      </c>
      <c r="IA17" s="6">
        <v>-0.346673086889959</v>
      </c>
      <c r="IB17" s="6">
        <v>8.48874202244543</v>
      </c>
      <c r="IC17" s="6">
        <v>5.0249933416857</v>
      </c>
      <c r="ID17" s="6">
        <v>6.25704504445128</v>
      </c>
      <c r="IE17" s="6">
        <v>111.03565478494</v>
      </c>
      <c r="IF17" s="6">
        <v>-26.2772271360123</v>
      </c>
      <c r="IG17" s="6">
        <v>0.927815344985916</v>
      </c>
      <c r="IH17" s="6">
        <v>3.51130355705505</v>
      </c>
      <c r="II17" s="6">
        <v>11.3084128786861</v>
      </c>
      <c r="IJ17" s="6">
        <v>10.3813775530338</v>
      </c>
      <c r="IK17" s="6">
        <v>89.3150635933499</v>
      </c>
      <c r="IL17" s="6">
        <v>-27.8495007129104</v>
      </c>
      <c r="IM17" s="6">
        <v>-0.666213704697238</v>
      </c>
      <c r="IN17" s="6">
        <v>79.0205881412973</v>
      </c>
      <c r="IO17" s="6">
        <v>10.2944754520526</v>
      </c>
      <c r="IP17" s="6">
        <v>33.8900616852179</v>
      </c>
      <c r="IQ17" s="6">
        <v>102.266390638289</v>
      </c>
      <c r="IR17" s="6">
        <v>1.31092580448553</v>
      </c>
      <c r="IS17" s="6">
        <v>-0.382863444105297</v>
      </c>
      <c r="IT17" s="6">
        <v>111.397166163547</v>
      </c>
      <c r="IU17" s="6">
        <v>-11.0446983231537</v>
      </c>
      <c r="IV17" s="6">
        <v>0.364851993478243</v>
      </c>
      <c r="IW17" s="6">
        <v>89.3150635933499</v>
      </c>
      <c r="IX17" s="6">
        <v>-27.8495007129104</v>
      </c>
      <c r="IY17" s="6">
        <v>-0.666213704697238</v>
      </c>
      <c r="IZ17" s="6">
        <v>100.678300854244</v>
      </c>
      <c r="JA17" s="6">
        <v>-1.48712183938013</v>
      </c>
      <c r="JB17" s="6">
        <v>-0.499556328884321</v>
      </c>
      <c r="JC17" s="6">
        <v>113.101827656702</v>
      </c>
      <c r="JD17" s="6">
        <v>-9.72584919525531</v>
      </c>
      <c r="JE17" s="6">
        <v>0.792694083859735</v>
      </c>
      <c r="JF17" s="6">
        <v>0</v>
      </c>
      <c r="JG17" s="6">
        <v>0</v>
      </c>
      <c r="JH17" s="6">
        <v>0</v>
      </c>
      <c r="JI17" s="6">
        <v>27117879.493691</v>
      </c>
      <c r="JJ17" s="6">
        <v>6558721.594925</v>
      </c>
      <c r="JK17" s="6">
        <v>2887542.167093</v>
      </c>
      <c r="JL17" s="6">
        <v>30139126.516992</v>
      </c>
      <c r="JM17" s="6">
        <v>6425016.702586</v>
      </c>
      <c r="JN17" s="6">
        <v>0.0361310094594955</v>
      </c>
      <c r="JO17" s="6">
        <v>26344737.01</v>
      </c>
      <c r="JP17" s="6">
        <v>7468716.73</v>
      </c>
      <c r="JQ17" s="6">
        <v>2433245.45</v>
      </c>
      <c r="JR17" s="6">
        <v>28654167.76</v>
      </c>
      <c r="JS17" s="6">
        <v>8545080.77</v>
      </c>
      <c r="JT17" s="6">
        <v>-952549.34</v>
      </c>
      <c r="JU17" s="6">
        <v>-2.11448270039879</v>
      </c>
      <c r="JV17" s="6">
        <v>-0.175470205857984</v>
      </c>
      <c r="JW17" s="6">
        <v>2.48876372874652</v>
      </c>
      <c r="JX17" s="6">
        <v>2.01868787793832</v>
      </c>
      <c r="JY17" s="6">
        <v>-1.24246509460349</v>
      </c>
      <c r="JZ17" s="6">
        <v>-0.862616070714998</v>
      </c>
      <c r="KA17" s="6">
        <v>-4.0612431326697</v>
      </c>
      <c r="KB17" s="6">
        <v>-1.24135602280555</v>
      </c>
      <c r="KC17" s="6">
        <v>5.79820523234324</v>
      </c>
      <c r="KD17" s="6">
        <v>2.2219577229863</v>
      </c>
      <c r="KE17" s="6">
        <v>-2.60514616592933</v>
      </c>
      <c r="KF17" s="6">
        <v>-9.88154137971062e-8</v>
      </c>
    </row>
    <row r="18" s="1" customFormat="1" ht="14.55" customHeight="1" spans="1:292">
      <c r="A18" s="5" t="s">
        <v>53</v>
      </c>
      <c r="B18" s="5" t="s">
        <v>97</v>
      </c>
      <c r="C18" s="5" t="s">
        <v>97</v>
      </c>
      <c r="D18" s="5" t="s">
        <v>97</v>
      </c>
      <c r="E18" s="5" t="s">
        <v>138</v>
      </c>
      <c r="F18" s="6">
        <v>132764</v>
      </c>
      <c r="G18" s="6">
        <v>112624</v>
      </c>
      <c r="H18" s="6">
        <v>12483</v>
      </c>
      <c r="I18" s="6">
        <v>7657</v>
      </c>
      <c r="J18" s="6">
        <v>153339</v>
      </c>
      <c r="K18" s="6">
        <v>76676</v>
      </c>
      <c r="L18" s="6">
        <v>76663</v>
      </c>
      <c r="M18" s="6">
        <v>30773</v>
      </c>
      <c r="N18" s="6">
        <v>160421</v>
      </c>
      <c r="O18" s="6">
        <v>2573</v>
      </c>
      <c r="P18" s="6">
        <v>24233</v>
      </c>
      <c r="Q18" s="6">
        <v>0</v>
      </c>
      <c r="R18" s="6">
        <v>124578</v>
      </c>
      <c r="S18" s="6">
        <v>117598</v>
      </c>
      <c r="T18" s="6">
        <v>101288</v>
      </c>
      <c r="U18" s="6">
        <v>9600</v>
      </c>
      <c r="V18" s="6">
        <v>6710</v>
      </c>
      <c r="W18" s="6">
        <v>2210</v>
      </c>
      <c r="X18" s="6">
        <v>4770</v>
      </c>
      <c r="Y18" s="6">
        <v>9233</v>
      </c>
      <c r="Z18" s="6">
        <v>89164</v>
      </c>
      <c r="AA18" s="6">
        <v>85454</v>
      </c>
      <c r="AB18" s="6">
        <v>79692</v>
      </c>
      <c r="AC18" s="6">
        <v>511</v>
      </c>
      <c r="AD18" s="6">
        <v>5251</v>
      </c>
      <c r="AE18" s="6">
        <v>1004</v>
      </c>
      <c r="AF18" s="6">
        <v>2706</v>
      </c>
      <c r="AG18" s="6">
        <v>5605</v>
      </c>
      <c r="AH18" s="6">
        <v>150854</v>
      </c>
      <c r="AI18" s="6">
        <v>145843</v>
      </c>
      <c r="AJ18" s="6">
        <v>69796</v>
      </c>
      <c r="AK18" s="6">
        <v>76047</v>
      </c>
      <c r="AL18" s="6">
        <v>1254</v>
      </c>
      <c r="AM18" s="6">
        <v>3757</v>
      </c>
      <c r="AN18" s="6">
        <v>2717</v>
      </c>
      <c r="AO18" s="6">
        <v>45573</v>
      </c>
      <c r="AP18" s="6">
        <v>41795</v>
      </c>
      <c r="AQ18" s="6">
        <v>41042</v>
      </c>
      <c r="AR18" s="6">
        <v>753</v>
      </c>
      <c r="AS18" s="6">
        <v>801</v>
      </c>
      <c r="AT18" s="6">
        <v>2977</v>
      </c>
      <c r="AU18" s="6">
        <v>2163</v>
      </c>
      <c r="AV18" s="6">
        <v>29357</v>
      </c>
      <c r="AW18" s="6">
        <v>28291</v>
      </c>
      <c r="AX18" s="6">
        <v>606</v>
      </c>
      <c r="AY18" s="6">
        <v>460</v>
      </c>
      <c r="AZ18" s="6">
        <v>2</v>
      </c>
      <c r="BA18" s="6">
        <v>15728</v>
      </c>
      <c r="BB18" s="6">
        <v>15112</v>
      </c>
      <c r="BC18" s="6">
        <v>263</v>
      </c>
      <c r="BD18" s="6">
        <v>353</v>
      </c>
      <c r="BE18" s="6">
        <v>0</v>
      </c>
      <c r="BF18" s="6">
        <v>154993</v>
      </c>
      <c r="BG18" s="6">
        <v>153362</v>
      </c>
      <c r="BH18" s="6">
        <v>416</v>
      </c>
      <c r="BI18" s="6">
        <v>1215</v>
      </c>
      <c r="BJ18" s="6">
        <v>6902</v>
      </c>
      <c r="BK18" s="6">
        <v>2459</v>
      </c>
      <c r="BL18" s="6">
        <v>2253</v>
      </c>
      <c r="BM18" s="6">
        <v>34</v>
      </c>
      <c r="BN18" s="6">
        <v>172</v>
      </c>
      <c r="BO18" s="6">
        <v>32</v>
      </c>
      <c r="BP18" s="6">
        <v>24398</v>
      </c>
      <c r="BQ18" s="6">
        <v>22312</v>
      </c>
      <c r="BR18" s="6">
        <v>512</v>
      </c>
      <c r="BS18" s="6">
        <v>1574</v>
      </c>
      <c r="BT18" s="6">
        <v>57</v>
      </c>
      <c r="BU18" s="6">
        <v>1347</v>
      </c>
      <c r="BV18" s="6">
        <v>0</v>
      </c>
      <c r="BW18" s="6">
        <v>1347</v>
      </c>
      <c r="BX18" s="6">
        <v>0</v>
      </c>
      <c r="BY18" s="6">
        <v>0</v>
      </c>
      <c r="BZ18" s="6">
        <v>93.8341719140731</v>
      </c>
      <c r="CA18" s="6">
        <v>0.102091514175173</v>
      </c>
      <c r="CB18" s="6">
        <v>-0.655298122985148</v>
      </c>
      <c r="CC18" s="6">
        <v>1.66460787562894</v>
      </c>
      <c r="CD18" s="6">
        <v>3.59284143291856</v>
      </c>
      <c r="CE18" s="6">
        <v>89.9346498082114</v>
      </c>
      <c r="CF18" s="6">
        <v>76.9045902427301</v>
      </c>
      <c r="CG18" s="6">
        <v>87.6322319446258</v>
      </c>
      <c r="CH18" s="6">
        <v>67.159772227411</v>
      </c>
      <c r="CI18" s="6">
        <v>-0.0610572905798579</v>
      </c>
      <c r="CJ18" s="6">
        <v>-0.860926154680486</v>
      </c>
      <c r="CK18" s="6">
        <v>0.756229098249525</v>
      </c>
      <c r="CL18" s="6">
        <v>2.0382031273538</v>
      </c>
      <c r="CM18" s="6">
        <v>70.7593408154567</v>
      </c>
      <c r="CN18" s="6">
        <v>4.09356725146199</v>
      </c>
      <c r="CO18" s="6">
        <v>68.5777719733577</v>
      </c>
      <c r="CP18" s="6">
        <v>98.3794077175409</v>
      </c>
      <c r="CQ18" s="6">
        <v>1.72509319526393</v>
      </c>
      <c r="CR18" s="6">
        <v>-0.586934830669295</v>
      </c>
      <c r="CS18" s="6">
        <v>0.817795864065893</v>
      </c>
      <c r="CT18" s="6">
        <v>2.45012684313841</v>
      </c>
      <c r="CU18" s="6">
        <v>91.0271792999113</v>
      </c>
      <c r="CV18" s="6">
        <v>99.1964833100713</v>
      </c>
      <c r="CW18" s="6">
        <v>29.7204233756579</v>
      </c>
      <c r="CX18" s="6">
        <v>0.656645210448475</v>
      </c>
      <c r="CY18" s="6">
        <v>-0.418028029398915</v>
      </c>
      <c r="CZ18" s="6">
        <v>0.522371999295678</v>
      </c>
      <c r="DA18" s="6">
        <v>1.94144998989168</v>
      </c>
      <c r="DB18" s="6">
        <v>53.5265272053837</v>
      </c>
      <c r="DC18" s="6">
        <v>0.982220888825118</v>
      </c>
      <c r="DD18" s="6">
        <v>95.3985636759497</v>
      </c>
      <c r="DE18" s="6">
        <v>-0.0683283382954869</v>
      </c>
      <c r="DF18" s="6">
        <v>-0.987878984824353</v>
      </c>
      <c r="DG18" s="6">
        <v>1.96925876580119</v>
      </c>
      <c r="DH18" s="6">
        <v>1.4948168849316</v>
      </c>
      <c r="DI18" s="6">
        <v>53.5749565691317</v>
      </c>
      <c r="DJ18" s="6">
        <v>-0.142797603857647</v>
      </c>
      <c r="DK18" s="6">
        <v>1.19641235282074</v>
      </c>
      <c r="DL18" s="6">
        <v>0.895868106414143</v>
      </c>
      <c r="DM18" s="6">
        <v>1.20243894130872</v>
      </c>
      <c r="DN18" s="6">
        <v>96.6164030893711</v>
      </c>
      <c r="DO18" s="6">
        <v>0.806140677651934</v>
      </c>
      <c r="DP18" s="6">
        <v>-0.368405632679014</v>
      </c>
      <c r="DQ18" s="6">
        <v>0.259317670379813</v>
      </c>
      <c r="DR18" s="6">
        <v>0.757382138248733</v>
      </c>
      <c r="DS18" s="6">
        <v>95.5693742712787</v>
      </c>
      <c r="DT18" s="6">
        <v>2.08631094285451</v>
      </c>
      <c r="DU18" s="6">
        <v>-0.738437621453558</v>
      </c>
      <c r="DV18" s="6">
        <v>1.32141469102215</v>
      </c>
      <c r="DW18" s="6">
        <v>6.68480373105324</v>
      </c>
      <c r="DX18" s="6">
        <v>100.680889695869</v>
      </c>
      <c r="DY18" s="6">
        <v>-1.75556029973281</v>
      </c>
      <c r="DZ18" s="6">
        <v>-0.71802913382577</v>
      </c>
      <c r="EA18" s="6">
        <v>2.11282135930343</v>
      </c>
      <c r="EB18" s="6">
        <v>6.49527503817109</v>
      </c>
      <c r="EC18" s="6" t="e">
        <v>#DIV/0!</v>
      </c>
      <c r="ED18" s="6" t="e">
        <v>#DIV/0!</v>
      </c>
      <c r="EE18" s="6" t="e">
        <v>#NUM!</v>
      </c>
      <c r="EF18" s="6" t="e">
        <v>#DIV/0!</v>
      </c>
      <c r="EG18" s="6">
        <v>0</v>
      </c>
      <c r="EH18" s="6">
        <v>77886889.099876</v>
      </c>
      <c r="EI18" s="6">
        <v>59482220.167445</v>
      </c>
      <c r="EJ18" s="6">
        <v>11324143.639084</v>
      </c>
      <c r="EK18" s="6">
        <v>1856056.200173</v>
      </c>
      <c r="EL18" s="6">
        <v>5224469.093174</v>
      </c>
      <c r="EM18" s="6">
        <v>27511696.711736</v>
      </c>
      <c r="EN18" s="6">
        <v>25543497.630564</v>
      </c>
      <c r="EO18" s="6">
        <v>1346977.895815</v>
      </c>
      <c r="EP18" s="6">
        <v>621221.185357</v>
      </c>
      <c r="EQ18" s="6">
        <v>1863605.901939</v>
      </c>
      <c r="ER18" s="6">
        <v>57893101.798085</v>
      </c>
      <c r="ES18" s="6">
        <v>72801572.76904</v>
      </c>
      <c r="ET18" s="6">
        <v>128350258.907297</v>
      </c>
      <c r="EU18" s="6">
        <v>49080084.012702</v>
      </c>
      <c r="EV18" s="6">
        <v>165155293.511636</v>
      </c>
      <c r="EW18" s="6">
        <v>201151831.676337</v>
      </c>
      <c r="EX18" s="6">
        <v>49080084.012702</v>
      </c>
      <c r="EY18" s="6">
        <v>244599758.130675</v>
      </c>
      <c r="EZ18" s="6">
        <v>170787451.07</v>
      </c>
      <c r="FA18" s="6">
        <v>0</v>
      </c>
      <c r="FB18" s="6">
        <v>51756851.92</v>
      </c>
      <c r="FC18" s="6">
        <v>48784824.29</v>
      </c>
      <c r="FD18" s="6">
        <v>39605467.95</v>
      </c>
      <c r="FE18" s="6">
        <v>7227343.11</v>
      </c>
      <c r="FF18" s="6">
        <v>1952013.23</v>
      </c>
      <c r="FG18" s="6">
        <v>1839151.64</v>
      </c>
      <c r="FH18" s="6">
        <v>1132875.99</v>
      </c>
      <c r="FI18" s="6">
        <v>17840823.49</v>
      </c>
      <c r="FJ18" s="6">
        <v>18722745.64</v>
      </c>
      <c r="FK18" s="6">
        <v>17863007.04</v>
      </c>
      <c r="FL18" s="6">
        <v>16931623.85</v>
      </c>
      <c r="FM18" s="6">
        <v>931383.19</v>
      </c>
      <c r="FN18" s="6">
        <v>269385.55</v>
      </c>
      <c r="FO18" s="6">
        <v>590353.05</v>
      </c>
      <c r="FP18" s="6">
        <v>4575329.62</v>
      </c>
      <c r="FQ18" s="6">
        <v>1254225.03</v>
      </c>
      <c r="FR18" s="6">
        <v>1222101.66</v>
      </c>
      <c r="FS18" s="6">
        <v>12537.35</v>
      </c>
      <c r="FT18" s="6">
        <v>19586.02</v>
      </c>
      <c r="FU18" s="6">
        <v>4925.68</v>
      </c>
      <c r="FV18" s="6">
        <v>34785077.28</v>
      </c>
      <c r="FW18" s="6">
        <v>34464769.04</v>
      </c>
      <c r="FX18" s="6">
        <v>90190.96</v>
      </c>
      <c r="FY18" s="6">
        <v>230117.28</v>
      </c>
      <c r="FZ18" s="6">
        <v>13063059.52</v>
      </c>
      <c r="GA18" s="6">
        <v>46896386.07</v>
      </c>
      <c r="GB18" s="6">
        <v>43986889.13</v>
      </c>
      <c r="GC18" s="6">
        <v>2227094.53</v>
      </c>
      <c r="GD18" s="6">
        <v>682402.41</v>
      </c>
      <c r="GE18" s="6">
        <v>7522307.97</v>
      </c>
      <c r="GF18" s="6">
        <v>66371704.58</v>
      </c>
      <c r="GG18" s="6">
        <v>63482955.39</v>
      </c>
      <c r="GH18" s="6">
        <v>664675.05</v>
      </c>
      <c r="GI18" s="6">
        <v>2224074.14</v>
      </c>
      <c r="GJ18" s="6">
        <v>21307699.4</v>
      </c>
      <c r="GK18" s="6">
        <v>23446472.7</v>
      </c>
      <c r="GL18" s="6">
        <v>0</v>
      </c>
      <c r="GM18" s="6">
        <v>21494328.53</v>
      </c>
      <c r="GN18" s="6">
        <v>1952144.17</v>
      </c>
      <c r="GO18" s="6">
        <v>10000314.91</v>
      </c>
      <c r="GP18" s="6">
        <v>106518899.87</v>
      </c>
      <c r="GQ18" s="6">
        <v>113268090.65</v>
      </c>
      <c r="GR18" s="6">
        <v>23446472.7</v>
      </c>
      <c r="GS18" s="6">
        <v>148600431.75</v>
      </c>
      <c r="GT18" s="6">
        <v>94633031.47</v>
      </c>
      <c r="GU18" s="6">
        <v>0</v>
      </c>
      <c r="GV18" s="6">
        <v>99.6769530497574</v>
      </c>
      <c r="GW18" s="6">
        <v>-2.95969524368096</v>
      </c>
      <c r="GX18" s="6">
        <v>-0.401465521768785</v>
      </c>
      <c r="GY18" s="6">
        <v>3.54196642320946</v>
      </c>
      <c r="GZ18" s="6">
        <v>2.18177154671171</v>
      </c>
      <c r="HA18" s="6">
        <v>99.8755624079992</v>
      </c>
      <c r="HB18" s="6">
        <v>95.7336378848416</v>
      </c>
      <c r="HC18" s="6">
        <v>157.754913063898</v>
      </c>
      <c r="HD18" s="6">
        <v>34.3591014409158</v>
      </c>
      <c r="HE18" s="6">
        <v>102.080648657412</v>
      </c>
      <c r="HF18" s="6">
        <v>0.377091866964207</v>
      </c>
      <c r="HG18" s="6">
        <v>-0.375077256136058</v>
      </c>
      <c r="HH18" s="6">
        <v>1.4687510161001</v>
      </c>
      <c r="HI18" s="6">
        <v>3.21873850340262</v>
      </c>
      <c r="HJ18" s="6">
        <v>99.4281838075721</v>
      </c>
      <c r="HK18" s="6">
        <v>103.719206479976</v>
      </c>
      <c r="HL18" s="6">
        <v>24.9457330891278</v>
      </c>
      <c r="HM18" s="6">
        <v>100.951469569964</v>
      </c>
      <c r="HN18" s="6">
        <v>-13.9052434906846</v>
      </c>
      <c r="HO18" s="6">
        <v>-0.439613063656634</v>
      </c>
      <c r="HP18" s="6">
        <v>1.00912027486247</v>
      </c>
      <c r="HQ18" s="6">
        <v>1.57646152383572</v>
      </c>
      <c r="HR18" s="6">
        <v>0.396463651049429</v>
      </c>
      <c r="HS18" s="6">
        <v>90.1275183043068</v>
      </c>
      <c r="HT18" s="6">
        <v>-3.62234622508129</v>
      </c>
      <c r="HU18" s="6">
        <v>-0.626313049684546</v>
      </c>
      <c r="HV18" s="6">
        <v>0.233683177784879</v>
      </c>
      <c r="HW18" s="6">
        <v>0.596229791251948</v>
      </c>
      <c r="HX18" s="6">
        <v>33.8461555373911</v>
      </c>
      <c r="HY18" s="6">
        <v>96.6250816148784</v>
      </c>
      <c r="HZ18" s="6">
        <v>-3.48673882215047</v>
      </c>
      <c r="IA18" s="6">
        <v>-0.591004772178061</v>
      </c>
      <c r="IB18" s="6">
        <v>4.58869454042985</v>
      </c>
      <c r="IC18" s="6">
        <v>1.40601854612034</v>
      </c>
      <c r="ID18" s="6">
        <v>15.4989260888584</v>
      </c>
      <c r="IE18" s="6">
        <v>77.5670869054553</v>
      </c>
      <c r="IF18" s="6">
        <v>-32.3574551183511</v>
      </c>
      <c r="IG18" s="6">
        <v>-0.12551928267015</v>
      </c>
      <c r="IH18" s="6">
        <v>0.776790466562368</v>
      </c>
      <c r="II18" s="6">
        <v>2.59922437118694</v>
      </c>
      <c r="IJ18" s="6">
        <v>24.9018189539335</v>
      </c>
      <c r="IK18" s="6">
        <v>71.6578012394967</v>
      </c>
      <c r="IL18" s="6">
        <v>-67.3040431658615</v>
      </c>
      <c r="IM18" s="6">
        <v>-0.997472541615607</v>
      </c>
      <c r="IN18" s="6">
        <v>65.6916006636334</v>
      </c>
      <c r="IO18" s="6">
        <v>5.96620057586326</v>
      </c>
      <c r="IP18" s="6">
        <v>30.5632573104762</v>
      </c>
      <c r="IQ18" s="6">
        <v>96.7443104048874</v>
      </c>
      <c r="IR18" s="6">
        <v>-2.65235848212662</v>
      </c>
      <c r="IS18" s="6">
        <v>-0.476317659918235</v>
      </c>
      <c r="IT18" s="6">
        <v>84.4646228468756</v>
      </c>
      <c r="IU18" s="6">
        <v>-21.5944514146415</v>
      </c>
      <c r="IV18" s="6">
        <v>-0.293989415181156</v>
      </c>
      <c r="IW18" s="6">
        <v>71.6578012394967</v>
      </c>
      <c r="IX18" s="6">
        <v>-67.3040431658615</v>
      </c>
      <c r="IY18" s="6">
        <v>-0.997472541615607</v>
      </c>
      <c r="IZ18" s="6">
        <v>91.1287277340305</v>
      </c>
      <c r="JA18" s="6">
        <v>-12.1548359031684</v>
      </c>
      <c r="JB18" s="6">
        <v>-0.582937370320469</v>
      </c>
      <c r="JC18" s="6">
        <v>83.11474075857</v>
      </c>
      <c r="JD18" s="6">
        <v>-26.8348649265862</v>
      </c>
      <c r="JE18" s="6">
        <v>-0.25864071608372</v>
      </c>
      <c r="JF18" s="6">
        <v>0</v>
      </c>
      <c r="JG18" s="6" t="e">
        <v>#DIV/0!</v>
      </c>
      <c r="JH18" s="6">
        <v>0</v>
      </c>
      <c r="JI18" s="6">
        <v>13962673.252741</v>
      </c>
      <c r="JJ18" s="6">
        <v>16795609.831252</v>
      </c>
      <c r="JK18" s="6">
        <v>4096310.94866</v>
      </c>
      <c r="JL18" s="6">
        <v>20598776.019038</v>
      </c>
      <c r="JM18" s="6">
        <v>14255817.976583</v>
      </c>
      <c r="JN18" s="6">
        <v>0.0370319969952106</v>
      </c>
      <c r="JO18" s="6">
        <v>12855975.25</v>
      </c>
      <c r="JP18" s="6">
        <v>13813548.36</v>
      </c>
      <c r="JQ18" s="6">
        <v>2645232.21</v>
      </c>
      <c r="JR18" s="6">
        <v>17743300.32</v>
      </c>
      <c r="JS18" s="6">
        <v>11780402.79</v>
      </c>
      <c r="JT18" s="6">
        <v>-208947.29</v>
      </c>
      <c r="JU18" s="6">
        <v>-3.17518546250806</v>
      </c>
      <c r="JV18" s="6">
        <v>-1.85860942286147</v>
      </c>
      <c r="JW18" s="6">
        <v>-8.55571999621715</v>
      </c>
      <c r="JX18" s="6">
        <v>-7.56599975753978</v>
      </c>
      <c r="JY18" s="6">
        <v>-4.16323523177627</v>
      </c>
      <c r="JZ18" s="6">
        <v>-3.34389739288921</v>
      </c>
      <c r="KA18" s="6">
        <v>-8.19253753569152</v>
      </c>
      <c r="KB18" s="6">
        <v>-5.80618454024195</v>
      </c>
      <c r="KC18" s="6">
        <v>-7.1021202664531</v>
      </c>
      <c r="KD18" s="6">
        <v>-6.96232192680137</v>
      </c>
      <c r="KE18" s="6">
        <v>-0.599482888356834</v>
      </c>
      <c r="KF18" s="6">
        <v>-1.06247104644277e-7</v>
      </c>
    </row>
    <row r="19" s="1" customFormat="1" ht="14.55" customHeight="1" spans="1:292">
      <c r="A19" s="5" t="s">
        <v>56</v>
      </c>
      <c r="B19" s="5" t="s">
        <v>97</v>
      </c>
      <c r="C19" s="5" t="s">
        <v>97</v>
      </c>
      <c r="D19" s="5" t="s">
        <v>97</v>
      </c>
      <c r="E19" s="5" t="s">
        <v>138</v>
      </c>
      <c r="F19" s="6">
        <v>140542</v>
      </c>
      <c r="G19" s="6">
        <v>118212</v>
      </c>
      <c r="H19" s="6">
        <v>9331</v>
      </c>
      <c r="I19" s="6">
        <v>12999</v>
      </c>
      <c r="J19" s="6">
        <v>54679</v>
      </c>
      <c r="K19" s="6">
        <v>50601</v>
      </c>
      <c r="L19" s="6">
        <v>4078</v>
      </c>
      <c r="M19" s="6">
        <v>28820</v>
      </c>
      <c r="N19" s="6">
        <v>49581</v>
      </c>
      <c r="O19" s="6">
        <v>1092</v>
      </c>
      <c r="P19" s="6">
        <v>20685</v>
      </c>
      <c r="Q19" s="6">
        <v>0</v>
      </c>
      <c r="R19" s="6">
        <v>135562</v>
      </c>
      <c r="S19" s="6">
        <v>128617</v>
      </c>
      <c r="T19" s="6">
        <v>110012</v>
      </c>
      <c r="U19" s="6">
        <v>8002</v>
      </c>
      <c r="V19" s="6">
        <v>10603</v>
      </c>
      <c r="W19" s="6">
        <v>2395</v>
      </c>
      <c r="X19" s="6">
        <v>4550</v>
      </c>
      <c r="Y19" s="6">
        <v>4265</v>
      </c>
      <c r="Z19" s="6">
        <v>97420</v>
      </c>
      <c r="AA19" s="6">
        <v>93755</v>
      </c>
      <c r="AB19" s="6">
        <v>84011</v>
      </c>
      <c r="AC19" s="6">
        <v>393</v>
      </c>
      <c r="AD19" s="6">
        <v>9351</v>
      </c>
      <c r="AE19" s="6">
        <v>1204</v>
      </c>
      <c r="AF19" s="6">
        <v>2461</v>
      </c>
      <c r="AG19" s="6">
        <v>2717</v>
      </c>
      <c r="AH19" s="6">
        <v>50968</v>
      </c>
      <c r="AI19" s="6">
        <v>48436</v>
      </c>
      <c r="AJ19" s="6">
        <v>44699</v>
      </c>
      <c r="AK19" s="6">
        <v>3737</v>
      </c>
      <c r="AL19" s="6">
        <v>689</v>
      </c>
      <c r="AM19" s="6">
        <v>1843</v>
      </c>
      <c r="AN19" s="6">
        <v>1148</v>
      </c>
      <c r="AO19" s="6">
        <v>32464</v>
      </c>
      <c r="AP19" s="6">
        <v>30346</v>
      </c>
      <c r="AQ19" s="6">
        <v>30177</v>
      </c>
      <c r="AR19" s="6">
        <v>169</v>
      </c>
      <c r="AS19" s="6">
        <v>526</v>
      </c>
      <c r="AT19" s="6">
        <v>1592</v>
      </c>
      <c r="AU19" s="6">
        <v>961</v>
      </c>
      <c r="AV19" s="6">
        <v>23877</v>
      </c>
      <c r="AW19" s="6">
        <v>22776</v>
      </c>
      <c r="AX19" s="6">
        <v>538</v>
      </c>
      <c r="AY19" s="6">
        <v>563</v>
      </c>
      <c r="AZ19" s="6">
        <v>10</v>
      </c>
      <c r="BA19" s="6">
        <v>11354</v>
      </c>
      <c r="BB19" s="6">
        <v>10720</v>
      </c>
      <c r="BC19" s="6">
        <v>234</v>
      </c>
      <c r="BD19" s="6">
        <v>400</v>
      </c>
      <c r="BE19" s="6">
        <v>6</v>
      </c>
      <c r="BF19" s="6">
        <v>46956</v>
      </c>
      <c r="BG19" s="6">
        <v>46368</v>
      </c>
      <c r="BH19" s="6">
        <v>251</v>
      </c>
      <c r="BI19" s="6">
        <v>337</v>
      </c>
      <c r="BJ19" s="6">
        <v>1211</v>
      </c>
      <c r="BK19" s="6">
        <v>1099</v>
      </c>
      <c r="BL19" s="6">
        <v>1001</v>
      </c>
      <c r="BM19" s="6">
        <v>9</v>
      </c>
      <c r="BN19" s="6">
        <v>89</v>
      </c>
      <c r="BO19" s="6">
        <v>1</v>
      </c>
      <c r="BP19" s="6">
        <v>18535</v>
      </c>
      <c r="BQ19" s="6">
        <v>16715</v>
      </c>
      <c r="BR19" s="6">
        <v>450</v>
      </c>
      <c r="BS19" s="6">
        <v>1370</v>
      </c>
      <c r="BT19" s="6">
        <v>13</v>
      </c>
      <c r="BU19" s="6">
        <v>675</v>
      </c>
      <c r="BV19" s="6">
        <v>0</v>
      </c>
      <c r="BW19" s="6">
        <v>675</v>
      </c>
      <c r="BX19" s="6">
        <v>0</v>
      </c>
      <c r="BY19" s="6">
        <v>0</v>
      </c>
      <c r="BZ19" s="6">
        <v>96.4565752586415</v>
      </c>
      <c r="CA19" s="6">
        <v>1.30234864320218</v>
      </c>
      <c r="CB19" s="6">
        <v>-0.672396863571034</v>
      </c>
      <c r="CC19" s="6">
        <v>1.70411691878584</v>
      </c>
      <c r="CD19" s="6">
        <v>3.23746638015682</v>
      </c>
      <c r="CE19" s="6">
        <v>93.0633099854499</v>
      </c>
      <c r="CF19" s="6">
        <v>85.7571535741078</v>
      </c>
      <c r="CG19" s="6">
        <v>81.5678129086853</v>
      </c>
      <c r="CH19" s="6">
        <v>69.3173570889841</v>
      </c>
      <c r="CI19" s="6">
        <v>0.576662615286483</v>
      </c>
      <c r="CJ19" s="6">
        <v>-0.674531456788718</v>
      </c>
      <c r="CK19" s="6">
        <v>0.856683411364574</v>
      </c>
      <c r="CL19" s="6">
        <v>1.75107796957493</v>
      </c>
      <c r="CM19" s="6">
        <v>71.0680810746794</v>
      </c>
      <c r="CN19" s="6">
        <v>4.21176722752117</v>
      </c>
      <c r="CO19" s="6">
        <v>71.9363027925225</v>
      </c>
      <c r="CP19" s="6">
        <v>93.2131165529728</v>
      </c>
      <c r="CQ19" s="6">
        <v>-3.20770774203803</v>
      </c>
      <c r="CR19" s="6">
        <v>-2.32630443131732</v>
      </c>
      <c r="CS19" s="6">
        <v>1.26008156696355</v>
      </c>
      <c r="CT19" s="6">
        <v>3.37058102745112</v>
      </c>
      <c r="CU19" s="6">
        <v>88.33619888935</v>
      </c>
      <c r="CV19" s="6">
        <v>91.6380578715056</v>
      </c>
      <c r="CW19" s="6">
        <v>59.3719709577717</v>
      </c>
      <c r="CX19" s="6">
        <v>-4.06620691641483</v>
      </c>
      <c r="CY19" s="6">
        <v>-2.48724373159713</v>
      </c>
      <c r="CZ19" s="6">
        <v>0.961978090308894</v>
      </c>
      <c r="DA19" s="6">
        <v>2.91153825051665</v>
      </c>
      <c r="DB19" s="6">
        <v>59.6371613209225</v>
      </c>
      <c r="DC19" s="6">
        <v>4.14418832761157</v>
      </c>
      <c r="DD19" s="6">
        <v>82.8487161693268</v>
      </c>
      <c r="DE19" s="6">
        <v>-13.7826699491344</v>
      </c>
      <c r="DF19" s="6">
        <v>-5.50312283136711</v>
      </c>
      <c r="DG19" s="6">
        <v>1.86675919500347</v>
      </c>
      <c r="DH19" s="6">
        <v>1.95350451075642</v>
      </c>
      <c r="DI19" s="6">
        <v>47.5520375256523</v>
      </c>
      <c r="DJ19" s="6">
        <v>4.30120375349152</v>
      </c>
      <c r="DK19" s="6">
        <v>2.84795709522383</v>
      </c>
      <c r="DL19" s="6">
        <v>0.980022615906521</v>
      </c>
      <c r="DM19" s="6">
        <v>1.67525233488294</v>
      </c>
      <c r="DN19" s="6">
        <v>94.7056332062685</v>
      </c>
      <c r="DO19" s="6">
        <v>-1.28289444478726</v>
      </c>
      <c r="DP19" s="6">
        <v>-1.90395514410762</v>
      </c>
      <c r="DQ19" s="6">
        <v>0.506242310562514</v>
      </c>
      <c r="DR19" s="6">
        <v>0.679695851233335</v>
      </c>
      <c r="DS19" s="6">
        <v>100.641025641026</v>
      </c>
      <c r="DT19" s="6">
        <v>1.45403377110694</v>
      </c>
      <c r="DU19" s="6">
        <v>-0.183150183150182</v>
      </c>
      <c r="DV19" s="6">
        <v>0.824175824175824</v>
      </c>
      <c r="DW19" s="6">
        <v>8.15018315018315</v>
      </c>
      <c r="DX19" s="6">
        <v>89.6059946821368</v>
      </c>
      <c r="DY19" s="6">
        <v>-14.6019519233486</v>
      </c>
      <c r="DZ19" s="6">
        <v>-4.55885907662558</v>
      </c>
      <c r="EA19" s="6">
        <v>2.17548948513416</v>
      </c>
      <c r="EB19" s="6">
        <v>6.62315687696398</v>
      </c>
      <c r="EC19" s="6" t="e">
        <v>#DIV/0!</v>
      </c>
      <c r="ED19" s="6" t="e">
        <v>#NUM!</v>
      </c>
      <c r="EE19" s="6" t="e">
        <v>#NUM!</v>
      </c>
      <c r="EF19" s="6" t="e">
        <v>#DIV/0!</v>
      </c>
      <c r="EG19" s="6">
        <v>0</v>
      </c>
      <c r="EH19" s="6">
        <v>57096087.531602</v>
      </c>
      <c r="EI19" s="6">
        <v>44403425.896866</v>
      </c>
      <c r="EJ19" s="6">
        <v>5726791.072852</v>
      </c>
      <c r="EK19" s="6">
        <v>4218334.912001</v>
      </c>
      <c r="EL19" s="6">
        <v>2747535.649883</v>
      </c>
      <c r="EM19" s="6">
        <v>20438671.010286</v>
      </c>
      <c r="EN19" s="6">
        <v>19304827.554457</v>
      </c>
      <c r="EO19" s="6">
        <v>563526.470948</v>
      </c>
      <c r="EP19" s="6">
        <v>570316.984881</v>
      </c>
      <c r="EQ19" s="6">
        <v>2478794.379561</v>
      </c>
      <c r="ER19" s="6">
        <v>14537741.041551</v>
      </c>
      <c r="ES19" s="6">
        <v>15428749.955654</v>
      </c>
      <c r="ET19" s="6">
        <v>28170426.7001</v>
      </c>
      <c r="EU19" s="6">
        <v>13082709.772515</v>
      </c>
      <c r="EV19" s="6">
        <v>94551293.963</v>
      </c>
      <c r="EW19" s="6">
        <v>43599176.655754</v>
      </c>
      <c r="EX19" s="6">
        <v>13082709.772515</v>
      </c>
      <c r="EY19" s="6">
        <v>115215330.371269</v>
      </c>
      <c r="EZ19" s="6">
        <v>36017850.02</v>
      </c>
      <c r="FA19" s="6">
        <v>0</v>
      </c>
      <c r="FB19" s="6">
        <v>39547844.06</v>
      </c>
      <c r="FC19" s="6">
        <v>36894077.42</v>
      </c>
      <c r="FD19" s="6">
        <v>29689374.14</v>
      </c>
      <c r="FE19" s="6">
        <v>3748586.2</v>
      </c>
      <c r="FF19" s="6">
        <v>3456117.08</v>
      </c>
      <c r="FG19" s="6">
        <v>1937797.76</v>
      </c>
      <c r="FH19" s="6">
        <v>715968.88</v>
      </c>
      <c r="FI19" s="6">
        <v>7440051.85</v>
      </c>
      <c r="FJ19" s="6">
        <v>14416314.38</v>
      </c>
      <c r="FK19" s="6">
        <v>13566687.83</v>
      </c>
      <c r="FL19" s="6">
        <v>13179243.77</v>
      </c>
      <c r="FM19" s="6">
        <v>387444.06</v>
      </c>
      <c r="FN19" s="6">
        <v>431700.68</v>
      </c>
      <c r="FO19" s="6">
        <v>417925.87</v>
      </c>
      <c r="FP19" s="6">
        <v>1949542.58</v>
      </c>
      <c r="FQ19" s="6">
        <v>1600934.22</v>
      </c>
      <c r="FR19" s="6">
        <v>1536389.59</v>
      </c>
      <c r="FS19" s="6">
        <v>39920.1</v>
      </c>
      <c r="FT19" s="6">
        <v>24624.53</v>
      </c>
      <c r="FU19" s="6">
        <v>28233.22</v>
      </c>
      <c r="FV19" s="6">
        <v>8962554.43</v>
      </c>
      <c r="FW19" s="6">
        <v>8907923.37</v>
      </c>
      <c r="FX19" s="6">
        <v>19496.85</v>
      </c>
      <c r="FY19" s="6">
        <v>35134.21</v>
      </c>
      <c r="FZ19" s="6">
        <v>2254612.22</v>
      </c>
      <c r="GA19" s="6">
        <v>9186095.65</v>
      </c>
      <c r="GB19" s="6">
        <v>7835704.04</v>
      </c>
      <c r="GC19" s="6">
        <v>1114825.43</v>
      </c>
      <c r="GD19" s="6">
        <v>235566.18</v>
      </c>
      <c r="GE19" s="6">
        <v>344971.55</v>
      </c>
      <c r="GF19" s="6">
        <v>25544491.38</v>
      </c>
      <c r="GG19" s="6">
        <v>21459132.18</v>
      </c>
      <c r="GH19" s="6">
        <v>2459828.59</v>
      </c>
      <c r="GI19" s="6">
        <v>1625530.61</v>
      </c>
      <c r="GJ19" s="6">
        <v>7552145.42</v>
      </c>
      <c r="GK19" s="6">
        <v>9600755.16</v>
      </c>
      <c r="GL19" s="6">
        <v>0</v>
      </c>
      <c r="GM19" s="6">
        <v>8891267.66</v>
      </c>
      <c r="GN19" s="6">
        <v>709487.5</v>
      </c>
      <c r="GO19" s="6">
        <v>4175716.54</v>
      </c>
      <c r="GP19" s="6">
        <v>64527647.09</v>
      </c>
      <c r="GQ19" s="6">
        <v>34730587.03</v>
      </c>
      <c r="GR19" s="6">
        <v>9600755.16</v>
      </c>
      <c r="GS19" s="6">
        <v>76830033.09</v>
      </c>
      <c r="GT19" s="6">
        <v>32029018.58</v>
      </c>
      <c r="GU19" s="6">
        <v>-62.39</v>
      </c>
      <c r="GV19" s="6">
        <v>103.898127970968</v>
      </c>
      <c r="GW19" s="6">
        <v>2.92665368128715</v>
      </c>
      <c r="GX19" s="6">
        <v>-0.437440293468261</v>
      </c>
      <c r="GY19" s="6">
        <v>5.0908858481611</v>
      </c>
      <c r="GZ19" s="6">
        <v>1.88095781415072</v>
      </c>
      <c r="HA19" s="6">
        <v>100.29420097773</v>
      </c>
      <c r="HB19" s="6">
        <v>98.1855148628593</v>
      </c>
      <c r="HC19" s="6">
        <v>122.896254758038</v>
      </c>
      <c r="HD19" s="6">
        <v>19.5461339952988</v>
      </c>
      <c r="HE19" s="6">
        <v>105.801749825697</v>
      </c>
      <c r="HF19" s="6">
        <v>3.38804506643642</v>
      </c>
      <c r="HG19" s="6">
        <v>-0.329810156556753</v>
      </c>
      <c r="HH19" s="6">
        <v>3.16826382534418</v>
      </c>
      <c r="HI19" s="6">
        <v>3.06717009478997</v>
      </c>
      <c r="HJ19" s="6">
        <v>102.403741236403</v>
      </c>
      <c r="HK19" s="6">
        <v>103.130220133639</v>
      </c>
      <c r="HL19" s="6">
        <v>14.3077496013723</v>
      </c>
      <c r="HM19" s="6">
        <v>96.8777946973275</v>
      </c>
      <c r="HN19" s="6">
        <v>-7.89727534359227</v>
      </c>
      <c r="HO19" s="6">
        <v>0.130053258298657</v>
      </c>
      <c r="HP19" s="6">
        <v>2.41569653754842</v>
      </c>
      <c r="HQ19" s="6">
        <v>1.4901112938033</v>
      </c>
      <c r="HR19" s="6">
        <v>1.70848499372103</v>
      </c>
      <c r="HS19" s="6">
        <v>92.4753825685542</v>
      </c>
      <c r="HT19" s="6">
        <v>-26.4340865993633</v>
      </c>
      <c r="HU19" s="6">
        <v>-0.254010700504292</v>
      </c>
      <c r="HV19" s="6">
        <v>0.201167945669225</v>
      </c>
      <c r="HW19" s="6">
        <v>0.362513782914222</v>
      </c>
      <c r="HX19" s="6">
        <v>23.2630249798368</v>
      </c>
      <c r="HY19" s="6">
        <v>89.3082298605177</v>
      </c>
      <c r="HZ19" s="6">
        <v>-17.5194120088211</v>
      </c>
      <c r="IA19" s="6">
        <v>-1.4726298071285</v>
      </c>
      <c r="IB19" s="6">
        <v>10.8384551555144</v>
      </c>
      <c r="IC19" s="6">
        <v>2.29020024963534</v>
      </c>
      <c r="ID19" s="6">
        <v>3.35385126136141</v>
      </c>
      <c r="IE19" s="6">
        <v>136.017595608035</v>
      </c>
      <c r="IF19" s="6">
        <v>15.9216927166219</v>
      </c>
      <c r="IG19" s="6">
        <v>-6.41394028701892</v>
      </c>
      <c r="IH19" s="6">
        <v>13.0979304086541</v>
      </c>
      <c r="II19" s="6">
        <v>8.65551644267903</v>
      </c>
      <c r="IJ19" s="6">
        <v>40.213157757954</v>
      </c>
      <c r="IK19" s="6">
        <v>110.07759852821</v>
      </c>
      <c r="IL19" s="6">
        <v>-10.131159725647</v>
      </c>
      <c r="IM19" s="6">
        <v>-5.11926467563339</v>
      </c>
      <c r="IN19" s="6">
        <v>101.942959233255</v>
      </c>
      <c r="IO19" s="6">
        <v>8.13463929495559</v>
      </c>
      <c r="IP19" s="6">
        <v>47.8767389853662</v>
      </c>
      <c r="IQ19" s="6">
        <v>102.369271300377</v>
      </c>
      <c r="IR19" s="6">
        <v>-1.39703595796731</v>
      </c>
      <c r="IS19" s="6">
        <v>-0.371093568377368</v>
      </c>
      <c r="IT19" s="6">
        <v>119.488220973376</v>
      </c>
      <c r="IU19" s="6">
        <v>4.22460832934533</v>
      </c>
      <c r="IV19" s="6">
        <v>-4.66532369158559</v>
      </c>
      <c r="IW19" s="6">
        <v>110.07759852821</v>
      </c>
      <c r="IX19" s="6">
        <v>-10.131159725647</v>
      </c>
      <c r="IY19" s="6">
        <v>-5.11926467563339</v>
      </c>
      <c r="IZ19" s="6">
        <v>100.025794539351</v>
      </c>
      <c r="JA19" s="6">
        <v>-8.2320651203416</v>
      </c>
      <c r="JB19" s="6">
        <v>-1.36028868971412</v>
      </c>
      <c r="JC19" s="6">
        <v>133.388105740133</v>
      </c>
      <c r="JD19" s="6">
        <v>25.9802195792982</v>
      </c>
      <c r="JE19" s="6">
        <v>-4.12934235355085</v>
      </c>
      <c r="JF19" s="6" t="e">
        <v>#DIV/0!</v>
      </c>
      <c r="JG19" s="6" t="e">
        <v>#DIV/0!</v>
      </c>
      <c r="JH19" s="6" t="e">
        <v>#DIV/0!</v>
      </c>
      <c r="JI19" s="6">
        <v>8042861.194108</v>
      </c>
      <c r="JJ19" s="6">
        <v>3643708.70569</v>
      </c>
      <c r="JK19" s="6">
        <v>1265348.435745</v>
      </c>
      <c r="JL19" s="6">
        <v>9769494.245183</v>
      </c>
      <c r="JM19" s="6">
        <v>3182424.074656</v>
      </c>
      <c r="JN19" s="6">
        <v>0.0157039985060692</v>
      </c>
      <c r="JO19" s="6">
        <v>7861279.52</v>
      </c>
      <c r="JP19" s="6">
        <v>3154798.46</v>
      </c>
      <c r="JQ19" s="6">
        <v>809413.58</v>
      </c>
      <c r="JR19" s="6">
        <v>8689518.49</v>
      </c>
      <c r="JS19" s="6">
        <v>3864513.29</v>
      </c>
      <c r="JT19" s="6">
        <v>-728540.22</v>
      </c>
      <c r="JU19" s="6">
        <v>-1.40196741057036</v>
      </c>
      <c r="JV19" s="6">
        <v>0.178310977136285</v>
      </c>
      <c r="JW19" s="6">
        <v>-3.77480951488336</v>
      </c>
      <c r="JX19" s="6">
        <v>5.38618801467878</v>
      </c>
      <c r="JY19" s="6">
        <v>-3.520211013791</v>
      </c>
      <c r="JZ19" s="6">
        <v>-0.503817574003136</v>
      </c>
      <c r="KA19" s="6">
        <v>-8.33834592841202</v>
      </c>
      <c r="KB19" s="6">
        <v>-1.27965684031663</v>
      </c>
      <c r="KC19" s="6">
        <v>5.26631806712518</v>
      </c>
      <c r="KD19" s="6">
        <v>6.34039859246511</v>
      </c>
      <c r="KE19" s="6">
        <v>-5.62496007795786</v>
      </c>
      <c r="KF19" s="6">
        <v>-6.0334336551995e-5</v>
      </c>
    </row>
    <row r="20" s="1" customFormat="1" ht="14.55" customHeight="1" spans="1:292">
      <c r="A20" s="5" t="s">
        <v>61</v>
      </c>
      <c r="B20" s="5" t="s">
        <v>97</v>
      </c>
      <c r="C20" s="5" t="s">
        <v>97</v>
      </c>
      <c r="D20" s="5" t="s">
        <v>97</v>
      </c>
      <c r="E20" s="5" t="s">
        <v>138</v>
      </c>
      <c r="F20" s="6">
        <v>158973</v>
      </c>
      <c r="G20" s="6">
        <v>129441</v>
      </c>
      <c r="H20" s="6">
        <v>5941</v>
      </c>
      <c r="I20" s="6">
        <v>23591</v>
      </c>
      <c r="J20" s="6">
        <v>58321</v>
      </c>
      <c r="K20" s="6">
        <v>52780</v>
      </c>
      <c r="L20" s="6">
        <v>5541</v>
      </c>
      <c r="M20" s="6">
        <v>33320</v>
      </c>
      <c r="N20" s="6">
        <v>93522</v>
      </c>
      <c r="O20" s="6">
        <v>1670</v>
      </c>
      <c r="P20" s="6">
        <v>22462</v>
      </c>
      <c r="Q20" s="6">
        <v>0</v>
      </c>
      <c r="R20" s="6">
        <v>148192</v>
      </c>
      <c r="S20" s="6">
        <v>140234</v>
      </c>
      <c r="T20" s="6">
        <v>116147</v>
      </c>
      <c r="U20" s="6">
        <v>4474</v>
      </c>
      <c r="V20" s="6">
        <v>19613</v>
      </c>
      <c r="W20" s="6">
        <v>1758</v>
      </c>
      <c r="X20" s="6">
        <v>6200</v>
      </c>
      <c r="Y20" s="6">
        <v>4114</v>
      </c>
      <c r="Z20" s="6">
        <v>122020</v>
      </c>
      <c r="AA20" s="6">
        <v>116581</v>
      </c>
      <c r="AB20" s="6">
        <v>98789</v>
      </c>
      <c r="AC20" s="6">
        <v>247</v>
      </c>
      <c r="AD20" s="6">
        <v>17545</v>
      </c>
      <c r="AE20" s="6">
        <v>1003</v>
      </c>
      <c r="AF20" s="6">
        <v>4436</v>
      </c>
      <c r="AG20" s="6">
        <v>2717</v>
      </c>
      <c r="AH20" s="6">
        <v>56032</v>
      </c>
      <c r="AI20" s="6">
        <v>51108</v>
      </c>
      <c r="AJ20" s="6">
        <v>45695</v>
      </c>
      <c r="AK20" s="6">
        <v>5413</v>
      </c>
      <c r="AL20" s="6">
        <v>1726</v>
      </c>
      <c r="AM20" s="6">
        <v>3198</v>
      </c>
      <c r="AN20" s="6">
        <v>2154</v>
      </c>
      <c r="AO20" s="6">
        <v>36616</v>
      </c>
      <c r="AP20" s="6">
        <v>32560</v>
      </c>
      <c r="AQ20" s="6">
        <v>32440</v>
      </c>
      <c r="AR20" s="6">
        <v>120</v>
      </c>
      <c r="AS20" s="6">
        <v>1444</v>
      </c>
      <c r="AT20" s="6">
        <v>2612</v>
      </c>
      <c r="AU20" s="6">
        <v>1744</v>
      </c>
      <c r="AV20" s="6">
        <v>31606</v>
      </c>
      <c r="AW20" s="6">
        <v>28595</v>
      </c>
      <c r="AX20" s="6">
        <v>1490</v>
      </c>
      <c r="AY20" s="6">
        <v>1521</v>
      </c>
      <c r="AZ20" s="6">
        <v>9</v>
      </c>
      <c r="BA20" s="6">
        <v>17827</v>
      </c>
      <c r="BB20" s="6">
        <v>15640</v>
      </c>
      <c r="BC20" s="6">
        <v>1115</v>
      </c>
      <c r="BD20" s="6">
        <v>1072</v>
      </c>
      <c r="BE20" s="6">
        <v>2</v>
      </c>
      <c r="BF20" s="6">
        <v>90109</v>
      </c>
      <c r="BG20" s="6">
        <v>88669</v>
      </c>
      <c r="BH20" s="6">
        <v>372</v>
      </c>
      <c r="BI20" s="6">
        <v>1068</v>
      </c>
      <c r="BJ20" s="6">
        <v>3278</v>
      </c>
      <c r="BK20" s="6">
        <v>1771</v>
      </c>
      <c r="BL20" s="6">
        <v>1494</v>
      </c>
      <c r="BM20" s="6">
        <v>16</v>
      </c>
      <c r="BN20" s="6">
        <v>261</v>
      </c>
      <c r="BO20" s="6">
        <v>7</v>
      </c>
      <c r="BP20" s="6">
        <v>20497</v>
      </c>
      <c r="BQ20" s="6">
        <v>19752</v>
      </c>
      <c r="BR20" s="6">
        <v>81</v>
      </c>
      <c r="BS20" s="6">
        <v>664</v>
      </c>
      <c r="BT20" s="6">
        <v>573</v>
      </c>
      <c r="BU20" s="6">
        <v>345</v>
      </c>
      <c r="BV20" s="6">
        <v>0</v>
      </c>
      <c r="BW20" s="6">
        <v>345</v>
      </c>
      <c r="BX20" s="6">
        <v>0</v>
      </c>
      <c r="BY20" s="6">
        <v>0</v>
      </c>
      <c r="BZ20" s="6">
        <v>93.2183452535965</v>
      </c>
      <c r="CA20" s="6">
        <v>-3.22726332047122</v>
      </c>
      <c r="CB20" s="6">
        <v>-0.869959049649938</v>
      </c>
      <c r="CC20" s="6">
        <v>1.10584816289559</v>
      </c>
      <c r="CD20" s="6">
        <v>3.90003333899467</v>
      </c>
      <c r="CE20" s="6">
        <v>89.729683794161</v>
      </c>
      <c r="CF20" s="6">
        <v>75.3071873421983</v>
      </c>
      <c r="CG20" s="6">
        <v>83.1376372345386</v>
      </c>
      <c r="CH20" s="6">
        <v>76.7551722619564</v>
      </c>
      <c r="CI20" s="6">
        <v>-0.899233082916973</v>
      </c>
      <c r="CJ20" s="6">
        <v>-1.22096205015947</v>
      </c>
      <c r="CK20" s="6">
        <v>0.630924748227687</v>
      </c>
      <c r="CL20" s="6">
        <v>2.79041095028716</v>
      </c>
      <c r="CM20" s="6">
        <v>76.3197132284207</v>
      </c>
      <c r="CN20" s="6">
        <v>4.15754923413567</v>
      </c>
      <c r="CO20" s="6">
        <v>74.3715823831122</v>
      </c>
      <c r="CP20" s="6">
        <v>96.0751701788378</v>
      </c>
      <c r="CQ20" s="6">
        <v>1.92554208104254</v>
      </c>
      <c r="CR20" s="6">
        <v>1.72322148111315</v>
      </c>
      <c r="CS20" s="6">
        <v>2.95948286209084</v>
      </c>
      <c r="CT20" s="6">
        <v>5.48344507124363</v>
      </c>
      <c r="CU20" s="6">
        <v>86.576354679803</v>
      </c>
      <c r="CV20" s="6">
        <v>97.6899476628767</v>
      </c>
      <c r="CW20" s="6">
        <v>62.7835599526757</v>
      </c>
      <c r="CX20" s="6">
        <v>3.84956842470799</v>
      </c>
      <c r="CY20" s="6">
        <v>-0.793882135079993</v>
      </c>
      <c r="CZ20" s="6">
        <v>2.47595205843521</v>
      </c>
      <c r="DA20" s="6">
        <v>4.47866120265428</v>
      </c>
      <c r="DB20" s="6">
        <v>61.4626752557787</v>
      </c>
      <c r="DC20" s="6">
        <v>2.16567406605306</v>
      </c>
      <c r="DD20" s="6">
        <v>94.8559423769508</v>
      </c>
      <c r="DE20" s="6">
        <v>-6.15017551571065</v>
      </c>
      <c r="DF20" s="6">
        <v>0.795318127250899</v>
      </c>
      <c r="DG20" s="6">
        <v>4.47178871548619</v>
      </c>
      <c r="DH20" s="6">
        <v>4.56482593037215</v>
      </c>
      <c r="DI20" s="6">
        <v>56.4038473707524</v>
      </c>
      <c r="DJ20" s="6">
        <v>1.48939106118757</v>
      </c>
      <c r="DK20" s="6">
        <v>1.14396415068921</v>
      </c>
      <c r="DL20" s="6">
        <v>3.52781117509334</v>
      </c>
      <c r="DM20" s="6">
        <v>3.39176105802696</v>
      </c>
      <c r="DN20" s="6">
        <v>96.3505913047197</v>
      </c>
      <c r="DO20" s="6">
        <v>1.26063741174027</v>
      </c>
      <c r="DP20" s="6">
        <v>0.112273048052869</v>
      </c>
      <c r="DQ20" s="6">
        <v>0.397767370244434</v>
      </c>
      <c r="DR20" s="6">
        <v>1.14197728876628</v>
      </c>
      <c r="DS20" s="6">
        <v>106.047904191617</v>
      </c>
      <c r="DT20" s="6">
        <v>9.69028829757702</v>
      </c>
      <c r="DU20" s="6">
        <v>1.79640718562875</v>
      </c>
      <c r="DV20" s="6">
        <v>0.958083832335329</v>
      </c>
      <c r="DW20" s="6">
        <v>15.6287425149701</v>
      </c>
      <c r="DX20" s="6">
        <v>91.2518920844092</v>
      </c>
      <c r="DY20" s="6">
        <v>5.54169267283682</v>
      </c>
      <c r="DZ20" s="6">
        <v>0.783545543584718</v>
      </c>
      <c r="EA20" s="6">
        <v>0.360609028581604</v>
      </c>
      <c r="EB20" s="6">
        <v>2.95610364170599</v>
      </c>
      <c r="EC20" s="6" t="e">
        <v>#DIV/0!</v>
      </c>
      <c r="ED20" s="6" t="e">
        <v>#NUM!</v>
      </c>
      <c r="EE20" s="6" t="e">
        <v>#NUM!</v>
      </c>
      <c r="EF20" s="6" t="e">
        <v>#DIV/0!</v>
      </c>
      <c r="EG20" s="6">
        <v>0</v>
      </c>
      <c r="EH20" s="6">
        <v>65965776.881492</v>
      </c>
      <c r="EI20" s="6">
        <v>52061065.480489</v>
      </c>
      <c r="EJ20" s="6">
        <v>4458735.38225</v>
      </c>
      <c r="EK20" s="6">
        <v>5661090.996704</v>
      </c>
      <c r="EL20" s="6">
        <v>3784885.022049</v>
      </c>
      <c r="EM20" s="6">
        <v>24218401.814751</v>
      </c>
      <c r="EN20" s="6">
        <v>22841589.298257</v>
      </c>
      <c r="EO20" s="6">
        <v>528629.376831</v>
      </c>
      <c r="EP20" s="6">
        <v>848183.139663</v>
      </c>
      <c r="EQ20" s="6">
        <v>2576017.468553</v>
      </c>
      <c r="ER20" s="6">
        <v>33026331.501241</v>
      </c>
      <c r="ES20" s="6">
        <v>25295944.607902</v>
      </c>
      <c r="ET20" s="6">
        <v>58956211.139017</v>
      </c>
      <c r="EU20" s="6">
        <v>25648407.684497</v>
      </c>
      <c r="EV20" s="6">
        <v>125786527.666037</v>
      </c>
      <c r="EW20" s="6">
        <v>84252155.746919</v>
      </c>
      <c r="EX20" s="6">
        <v>25648407.684497</v>
      </c>
      <c r="EY20" s="6">
        <v>153630320.257453</v>
      </c>
      <c r="EZ20" s="6">
        <v>82056770.84</v>
      </c>
      <c r="FA20" s="6">
        <v>0</v>
      </c>
      <c r="FB20" s="6">
        <v>44786767.77</v>
      </c>
      <c r="FC20" s="6">
        <v>42458464.74</v>
      </c>
      <c r="FD20" s="6">
        <v>34594938.88</v>
      </c>
      <c r="FE20" s="6">
        <v>2795169.76</v>
      </c>
      <c r="FF20" s="6">
        <v>5068356.1</v>
      </c>
      <c r="FG20" s="6">
        <v>1325504.6</v>
      </c>
      <c r="FH20" s="6">
        <v>1002798.43</v>
      </c>
      <c r="FI20" s="6">
        <v>7138856.22</v>
      </c>
      <c r="FJ20" s="6">
        <v>16126852.75</v>
      </c>
      <c r="FK20" s="6">
        <v>15248389.07</v>
      </c>
      <c r="FL20" s="6">
        <v>14909156.41</v>
      </c>
      <c r="FM20" s="6">
        <v>339232.66</v>
      </c>
      <c r="FN20" s="6">
        <v>201841.39</v>
      </c>
      <c r="FO20" s="6">
        <v>676622.29</v>
      </c>
      <c r="FP20" s="6">
        <v>3523709.92</v>
      </c>
      <c r="FQ20" s="6">
        <v>1720647.7</v>
      </c>
      <c r="FR20" s="6">
        <v>1596785.21</v>
      </c>
      <c r="FS20" s="6">
        <v>63459.64</v>
      </c>
      <c r="FT20" s="6">
        <v>60402.85</v>
      </c>
      <c r="FU20" s="6">
        <v>53008.72</v>
      </c>
      <c r="FV20" s="6">
        <v>26263684.32</v>
      </c>
      <c r="FW20" s="6">
        <v>24429813.3</v>
      </c>
      <c r="FX20" s="6">
        <v>61865.83</v>
      </c>
      <c r="FY20" s="6">
        <v>1772005.19</v>
      </c>
      <c r="FZ20" s="6">
        <v>11859069.73</v>
      </c>
      <c r="GA20" s="6">
        <v>17268851.6</v>
      </c>
      <c r="GB20" s="6">
        <v>16012074.36</v>
      </c>
      <c r="GC20" s="6">
        <v>795595.86</v>
      </c>
      <c r="GD20" s="6">
        <v>461181.38</v>
      </c>
      <c r="GE20" s="6">
        <v>1171186.71</v>
      </c>
      <c r="GF20" s="6">
        <v>33945629.43</v>
      </c>
      <c r="GG20" s="6">
        <v>31519929.14</v>
      </c>
      <c r="GH20" s="6">
        <v>1240034.23</v>
      </c>
      <c r="GI20" s="6">
        <v>1185666.06</v>
      </c>
      <c r="GJ20" s="6">
        <v>4496920.31</v>
      </c>
      <c r="GK20" s="6">
        <v>18338137.79</v>
      </c>
      <c r="GL20" s="6">
        <v>0</v>
      </c>
      <c r="GM20" s="6">
        <v>16828761.8</v>
      </c>
      <c r="GN20" s="6">
        <v>1509375.99</v>
      </c>
      <c r="GO20" s="6">
        <v>8823138.41</v>
      </c>
      <c r="GP20" s="6">
        <v>88897952.54</v>
      </c>
      <c r="GQ20" s="6">
        <v>51214481.03</v>
      </c>
      <c r="GR20" s="6">
        <v>18338137.79</v>
      </c>
      <c r="GS20" s="6">
        <v>106627404.73</v>
      </c>
      <c r="GT20" s="6">
        <v>51823166.63</v>
      </c>
      <c r="GU20" s="6">
        <v>0</v>
      </c>
      <c r="GV20" s="6">
        <v>101.840916352262</v>
      </c>
      <c r="GW20" s="6">
        <v>-0.411398811334274</v>
      </c>
      <c r="GX20" s="6">
        <v>-0.38972429559585</v>
      </c>
      <c r="GY20" s="6">
        <v>3.01407334832411</v>
      </c>
      <c r="GZ20" s="6">
        <v>2.28026973395963</v>
      </c>
      <c r="HA20" s="6">
        <v>99.6760397449948</v>
      </c>
      <c r="HB20" s="6">
        <v>94.0346147629918</v>
      </c>
      <c r="HC20" s="6">
        <v>134.294505324616</v>
      </c>
      <c r="HD20" s="6">
        <v>16.2330906058114</v>
      </c>
      <c r="HE20" s="6">
        <v>99.8838788373977</v>
      </c>
      <c r="HF20" s="6">
        <v>0.768118828754893</v>
      </c>
      <c r="HG20" s="6">
        <v>-0.451272909189249</v>
      </c>
      <c r="HH20" s="6">
        <v>1.25013238823874</v>
      </c>
      <c r="HI20" s="6">
        <v>4.19075314202534</v>
      </c>
      <c r="HJ20" s="6">
        <v>97.9079621955489</v>
      </c>
      <c r="HK20" s="6">
        <v>96.2581748767769</v>
      </c>
      <c r="HL20" s="6">
        <v>21.8245816566668</v>
      </c>
      <c r="HM20" s="6">
        <v>100.192315522215</v>
      </c>
      <c r="HN20" s="6">
        <v>-8.99512934790071</v>
      </c>
      <c r="HO20" s="6">
        <v>-0.379530866848654</v>
      </c>
      <c r="HP20" s="6">
        <v>3.69521795414958</v>
      </c>
      <c r="HQ20" s="6">
        <v>3.51722284907075</v>
      </c>
      <c r="HR20" s="6">
        <v>3.08666695667495</v>
      </c>
      <c r="HS20" s="6">
        <v>119.285202713234</v>
      </c>
      <c r="HT20" s="6">
        <v>31.3802602163709</v>
      </c>
      <c r="HU20" s="6">
        <v>-4.32795664428465</v>
      </c>
      <c r="HV20" s="6">
        <v>0.280984114134847</v>
      </c>
      <c r="HW20" s="6">
        <v>8.04814723336778</v>
      </c>
      <c r="HX20" s="6">
        <v>53.8618847035178</v>
      </c>
      <c r="HY20" s="6">
        <v>102.400909717</v>
      </c>
      <c r="HZ20" s="6">
        <v>-1.20456307397829</v>
      </c>
      <c r="IA20" s="6">
        <v>-0.961838511722746</v>
      </c>
      <c r="IB20" s="6">
        <v>4.71772771682622</v>
      </c>
      <c r="IC20" s="6">
        <v>2.7347153099944</v>
      </c>
      <c r="ID20" s="6">
        <v>6.94490793773803</v>
      </c>
      <c r="IE20" s="6">
        <v>86.3665475804336</v>
      </c>
      <c r="IF20" s="6">
        <v>-8.5089134574245</v>
      </c>
      <c r="IG20" s="6">
        <v>0.228604343260666</v>
      </c>
      <c r="IH20" s="6">
        <v>3.15497096754412</v>
      </c>
      <c r="II20" s="6">
        <v>3.01664414255921</v>
      </c>
      <c r="IJ20" s="6">
        <v>11.4413398260865</v>
      </c>
      <c r="IK20" s="6">
        <v>107.24722962676</v>
      </c>
      <c r="IL20" s="6">
        <v>-6.25316610516291</v>
      </c>
      <c r="IM20" s="6">
        <v>-0.177939692859508</v>
      </c>
      <c r="IN20" s="6">
        <v>98.4199214645907</v>
      </c>
      <c r="IO20" s="6">
        <v>8.82730816216906</v>
      </c>
      <c r="IP20" s="6">
        <v>51.6005039291372</v>
      </c>
      <c r="IQ20" s="6">
        <v>106.010501509379</v>
      </c>
      <c r="IR20" s="6">
        <v>8.31223283897385</v>
      </c>
      <c r="IS20" s="6">
        <v>-1.43538252403941</v>
      </c>
      <c r="IT20" s="6">
        <v>91.1807191922318</v>
      </c>
      <c r="IU20" s="6">
        <v>-6.45283268930756</v>
      </c>
      <c r="IV20" s="6">
        <v>-0.128815312670638</v>
      </c>
      <c r="IW20" s="6">
        <v>107.24722962676</v>
      </c>
      <c r="IX20" s="6">
        <v>-6.25316610516291</v>
      </c>
      <c r="IY20" s="6">
        <v>-0.177939692859508</v>
      </c>
      <c r="IZ20" s="6">
        <v>104.107774316275</v>
      </c>
      <c r="JA20" s="6">
        <v>4.08537815566699</v>
      </c>
      <c r="JB20" s="6">
        <v>-1.36971437765256</v>
      </c>
      <c r="JC20" s="6">
        <v>94.732889375543</v>
      </c>
      <c r="JD20" s="6">
        <v>-2.24284937580091</v>
      </c>
      <c r="JE20" s="6">
        <v>0.176232103811898</v>
      </c>
      <c r="JF20" s="6">
        <v>0</v>
      </c>
      <c r="JG20" s="6">
        <v>0</v>
      </c>
      <c r="JH20" s="6">
        <v>0</v>
      </c>
      <c r="JI20" s="6">
        <v>10874277.574857</v>
      </c>
      <c r="JJ20" s="6">
        <v>7030356.360334</v>
      </c>
      <c r="JK20" s="6">
        <v>2141958.052485</v>
      </c>
      <c r="JL20" s="6">
        <v>13192123.374684</v>
      </c>
      <c r="JM20" s="6">
        <v>6854468.638269</v>
      </c>
      <c r="JN20" s="6">
        <v>-0.0252770055085421</v>
      </c>
      <c r="JO20" s="6">
        <v>10059025.33</v>
      </c>
      <c r="JP20" s="6">
        <v>6338501.15</v>
      </c>
      <c r="JQ20" s="6">
        <v>2265644.65</v>
      </c>
      <c r="JR20" s="6">
        <v>12100919.25</v>
      </c>
      <c r="JS20" s="6">
        <v>6932325.58</v>
      </c>
      <c r="JT20" s="6">
        <v>-370073.7</v>
      </c>
      <c r="JU20" s="6">
        <v>-4.06678723923843</v>
      </c>
      <c r="JV20" s="6">
        <v>1.18706707249438</v>
      </c>
      <c r="JW20" s="6">
        <v>-3.45123605428458</v>
      </c>
      <c r="JX20" s="6">
        <v>-3.13542686941705</v>
      </c>
      <c r="JY20" s="6">
        <v>0.616995634924071</v>
      </c>
      <c r="JZ20" s="6">
        <v>0.749799124746016</v>
      </c>
      <c r="KA20" s="6">
        <v>-5.44333982232414</v>
      </c>
      <c r="KB20" s="6">
        <v>0.679927125018491</v>
      </c>
      <c r="KC20" s="6">
        <v>0.388379938988449</v>
      </c>
      <c r="KD20" s="6">
        <v>-1.87848792328644</v>
      </c>
      <c r="KE20" s="6">
        <v>-1.84606777526327</v>
      </c>
      <c r="KF20" s="6">
        <v>1.26091285362028e-7</v>
      </c>
    </row>
    <row r="21" s="1" customFormat="1" ht="14.55" customHeight="1" spans="1:292">
      <c r="A21" s="5" t="s">
        <v>66</v>
      </c>
      <c r="B21" s="5" t="s">
        <v>97</v>
      </c>
      <c r="C21" s="5" t="s">
        <v>97</v>
      </c>
      <c r="D21" s="5" t="s">
        <v>97</v>
      </c>
      <c r="E21" s="5" t="s">
        <v>138</v>
      </c>
      <c r="F21" s="6">
        <v>124072</v>
      </c>
      <c r="G21" s="6">
        <v>98126</v>
      </c>
      <c r="H21" s="6">
        <v>9179</v>
      </c>
      <c r="I21" s="6">
        <v>16767</v>
      </c>
      <c r="J21" s="6">
        <v>85325</v>
      </c>
      <c r="K21" s="6">
        <v>83674</v>
      </c>
      <c r="L21" s="6">
        <v>1651</v>
      </c>
      <c r="M21" s="6">
        <v>37917</v>
      </c>
      <c r="N21" s="6">
        <v>75054</v>
      </c>
      <c r="O21" s="6">
        <v>2019</v>
      </c>
      <c r="P21" s="6">
        <v>16579</v>
      </c>
      <c r="Q21" s="6">
        <v>0</v>
      </c>
      <c r="R21" s="6">
        <v>112978</v>
      </c>
      <c r="S21" s="6">
        <v>105312</v>
      </c>
      <c r="T21" s="6">
        <v>87399</v>
      </c>
      <c r="U21" s="6">
        <v>6802</v>
      </c>
      <c r="V21" s="6">
        <v>11111</v>
      </c>
      <c r="W21" s="6">
        <v>1909</v>
      </c>
      <c r="X21" s="6">
        <v>5757</v>
      </c>
      <c r="Y21" s="6">
        <v>6439</v>
      </c>
      <c r="Z21" s="6">
        <v>85232</v>
      </c>
      <c r="AA21" s="6">
        <v>80154</v>
      </c>
      <c r="AB21" s="6">
        <v>69817</v>
      </c>
      <c r="AC21" s="6">
        <v>448</v>
      </c>
      <c r="AD21" s="6">
        <v>9889</v>
      </c>
      <c r="AE21" s="6">
        <v>1198</v>
      </c>
      <c r="AF21" s="6">
        <v>3880</v>
      </c>
      <c r="AG21" s="6">
        <v>3952</v>
      </c>
      <c r="AH21" s="6">
        <v>87022</v>
      </c>
      <c r="AI21" s="6">
        <v>58386</v>
      </c>
      <c r="AJ21" s="6">
        <v>56854</v>
      </c>
      <c r="AK21" s="6">
        <v>1532</v>
      </c>
      <c r="AL21" s="6">
        <v>1239</v>
      </c>
      <c r="AM21" s="6">
        <v>27397</v>
      </c>
      <c r="AN21" s="6">
        <v>2717</v>
      </c>
      <c r="AO21" s="6">
        <v>53577</v>
      </c>
      <c r="AP21" s="6">
        <v>41805</v>
      </c>
      <c r="AQ21" s="6">
        <v>41592</v>
      </c>
      <c r="AR21" s="6">
        <v>213</v>
      </c>
      <c r="AS21" s="6">
        <v>1007</v>
      </c>
      <c r="AT21" s="6">
        <v>10765</v>
      </c>
      <c r="AU21" s="6">
        <v>2203</v>
      </c>
      <c r="AV21" s="6">
        <v>33731</v>
      </c>
      <c r="AW21" s="6">
        <v>32323</v>
      </c>
      <c r="AX21" s="6">
        <v>325</v>
      </c>
      <c r="AY21" s="6">
        <v>1083</v>
      </c>
      <c r="AZ21" s="6">
        <v>2</v>
      </c>
      <c r="BA21" s="6">
        <v>19412</v>
      </c>
      <c r="BB21" s="6">
        <v>18404</v>
      </c>
      <c r="BC21" s="6">
        <v>183</v>
      </c>
      <c r="BD21" s="6">
        <v>825</v>
      </c>
      <c r="BE21" s="6">
        <v>0</v>
      </c>
      <c r="BF21" s="6">
        <v>72080</v>
      </c>
      <c r="BG21" s="6">
        <v>70630</v>
      </c>
      <c r="BH21" s="6">
        <v>599</v>
      </c>
      <c r="BI21" s="6">
        <v>851</v>
      </c>
      <c r="BJ21" s="6">
        <v>2240</v>
      </c>
      <c r="BK21" s="6">
        <v>2054</v>
      </c>
      <c r="BL21" s="6">
        <v>1817</v>
      </c>
      <c r="BM21" s="6">
        <v>15</v>
      </c>
      <c r="BN21" s="6">
        <v>222</v>
      </c>
      <c r="BO21" s="6">
        <v>6</v>
      </c>
      <c r="BP21" s="6">
        <v>16101</v>
      </c>
      <c r="BQ21" s="6">
        <v>14742</v>
      </c>
      <c r="BR21" s="6">
        <v>577</v>
      </c>
      <c r="BS21" s="6">
        <v>782</v>
      </c>
      <c r="BT21" s="6">
        <v>8</v>
      </c>
      <c r="BU21" s="6">
        <v>464</v>
      </c>
      <c r="BV21" s="6">
        <v>0</v>
      </c>
      <c r="BW21" s="6">
        <v>464</v>
      </c>
      <c r="BX21" s="6">
        <v>0</v>
      </c>
      <c r="BY21" s="6">
        <v>0</v>
      </c>
      <c r="BZ21" s="6">
        <v>91.0584176929525</v>
      </c>
      <c r="CA21" s="6">
        <v>-4.52379825623596</v>
      </c>
      <c r="CB21" s="6">
        <v>-0.596427880585471</v>
      </c>
      <c r="CC21" s="6">
        <v>1.53862273518602</v>
      </c>
      <c r="CD21" s="6">
        <v>4.64004771423045</v>
      </c>
      <c r="CE21" s="6">
        <v>89.0681368852292</v>
      </c>
      <c r="CF21" s="6">
        <v>74.1039328902931</v>
      </c>
      <c r="CG21" s="6">
        <v>66.2670722252043</v>
      </c>
      <c r="CH21" s="6">
        <v>68.6955961054871</v>
      </c>
      <c r="CI21" s="6">
        <v>-2.13450269479515</v>
      </c>
      <c r="CJ21" s="6">
        <v>-0.515023534721781</v>
      </c>
      <c r="CK21" s="6">
        <v>0.965568379650526</v>
      </c>
      <c r="CL21" s="6">
        <v>3.12721645496164</v>
      </c>
      <c r="CM21" s="6">
        <v>71.150357703361</v>
      </c>
      <c r="CN21" s="6">
        <v>4.88070595925482</v>
      </c>
      <c r="CO21" s="6">
        <v>58.9789467406215</v>
      </c>
      <c r="CP21" s="6">
        <v>101.988866100205</v>
      </c>
      <c r="CQ21" s="6">
        <v>-5.11488623137601</v>
      </c>
      <c r="CR21" s="6">
        <v>11.6554351010841</v>
      </c>
      <c r="CS21" s="6">
        <v>1.45209493114562</v>
      </c>
      <c r="CT21" s="6">
        <v>32.1089950190448</v>
      </c>
      <c r="CU21" s="6">
        <v>67.9470325310132</v>
      </c>
      <c r="CV21" s="6">
        <v>92.7922471229558</v>
      </c>
      <c r="CW21" s="6">
        <v>62.7916788748901</v>
      </c>
      <c r="CX21" s="6">
        <v>4.25264154536806</v>
      </c>
      <c r="CY21" s="6">
        <v>-8.21095810137709</v>
      </c>
      <c r="CZ21" s="6">
        <v>1.1801933782596</v>
      </c>
      <c r="DA21" s="6">
        <v>12.6164664518019</v>
      </c>
      <c r="DB21" s="6">
        <v>49.7071969787509</v>
      </c>
      <c r="DC21" s="6">
        <v>12.9012719563901</v>
      </c>
      <c r="DD21" s="6">
        <v>88.9600970540918</v>
      </c>
      <c r="DE21" s="6">
        <v>-7.24417314193763</v>
      </c>
      <c r="DF21" s="6">
        <v>-3.34150908563441</v>
      </c>
      <c r="DG21" s="6">
        <v>0.85713532188728</v>
      </c>
      <c r="DH21" s="6">
        <v>2.85623862647361</v>
      </c>
      <c r="DI21" s="6">
        <v>57.5494352376153</v>
      </c>
      <c r="DJ21" s="6">
        <v>1.52088234988002</v>
      </c>
      <c r="DK21" s="6">
        <v>0.777619705299126</v>
      </c>
      <c r="DL21" s="6">
        <v>0.542527645192849</v>
      </c>
      <c r="DM21" s="6">
        <v>2.44582135127924</v>
      </c>
      <c r="DN21" s="6">
        <v>96.0375196525169</v>
      </c>
      <c r="DO21" s="6">
        <v>-0.160382463146158</v>
      </c>
      <c r="DP21" s="6">
        <v>-0.726143843099636</v>
      </c>
      <c r="DQ21" s="6">
        <v>0.798092040397581</v>
      </c>
      <c r="DR21" s="6">
        <v>1.13385029445466</v>
      </c>
      <c r="DS21" s="6">
        <v>101.733531451213</v>
      </c>
      <c r="DT21" s="6">
        <v>2.64538555455693</v>
      </c>
      <c r="DU21" s="6">
        <v>0.941059930658739</v>
      </c>
      <c r="DV21" s="6">
        <v>0.742942050520059</v>
      </c>
      <c r="DW21" s="6">
        <v>10.9955423476969</v>
      </c>
      <c r="DX21" s="6">
        <v>97.1168345497316</v>
      </c>
      <c r="DY21" s="6">
        <v>-8.1431042881889</v>
      </c>
      <c r="DZ21" s="6">
        <v>-0.530791965739785</v>
      </c>
      <c r="EA21" s="6">
        <v>3.48030641172568</v>
      </c>
      <c r="EB21" s="6">
        <v>4.71681042282405</v>
      </c>
      <c r="EC21" s="6" t="e">
        <v>#DIV/0!</v>
      </c>
      <c r="ED21" s="6" t="e">
        <v>#NUM!</v>
      </c>
      <c r="EE21" s="6" t="e">
        <v>#NUM!</v>
      </c>
      <c r="EF21" s="6" t="e">
        <v>#DIV/0!</v>
      </c>
      <c r="EG21" s="6">
        <v>0</v>
      </c>
      <c r="EH21" s="6">
        <v>60608755.979334</v>
      </c>
      <c r="EI21" s="6">
        <v>46258534.318715</v>
      </c>
      <c r="EJ21" s="6">
        <v>7699397.711362</v>
      </c>
      <c r="EK21" s="6">
        <v>3439959.289489</v>
      </c>
      <c r="EL21" s="6">
        <v>3210864.659768</v>
      </c>
      <c r="EM21" s="6">
        <v>32446615.45512</v>
      </c>
      <c r="EN21" s="6">
        <v>30814336.470226</v>
      </c>
      <c r="EO21" s="6">
        <v>642298.558651</v>
      </c>
      <c r="EP21" s="6">
        <v>989980.426243</v>
      </c>
      <c r="EQ21" s="6">
        <v>3171917.462917</v>
      </c>
      <c r="ER21" s="6">
        <v>28918983.72329</v>
      </c>
      <c r="ES21" s="6">
        <v>33657507.664372</v>
      </c>
      <c r="ET21" s="6">
        <v>37634535.036955</v>
      </c>
      <c r="EU21" s="6">
        <v>20859113.934167</v>
      </c>
      <c r="EV21" s="6">
        <v>125146272.620661</v>
      </c>
      <c r="EW21" s="6">
        <v>71292042.701327</v>
      </c>
      <c r="EX21" s="6">
        <v>20859113.934167</v>
      </c>
      <c r="EY21" s="6">
        <v>164170571.926155</v>
      </c>
      <c r="EZ21" s="6">
        <v>53126857.33</v>
      </c>
      <c r="FA21" s="6">
        <v>0</v>
      </c>
      <c r="FB21" s="6">
        <v>42471990.77</v>
      </c>
      <c r="FC21" s="6">
        <v>39143777.52</v>
      </c>
      <c r="FD21" s="6">
        <v>31052193.04</v>
      </c>
      <c r="FE21" s="6">
        <v>5097167.46</v>
      </c>
      <c r="FF21" s="6">
        <v>2994417.02</v>
      </c>
      <c r="FG21" s="6">
        <v>1801613.9</v>
      </c>
      <c r="FH21" s="6">
        <v>1526599.35</v>
      </c>
      <c r="FI21" s="6">
        <v>12039185.55</v>
      </c>
      <c r="FJ21" s="6">
        <v>24115692.42</v>
      </c>
      <c r="FK21" s="6">
        <v>21829424.13</v>
      </c>
      <c r="FL21" s="6">
        <v>21442013.88</v>
      </c>
      <c r="FM21" s="6">
        <v>387410.25</v>
      </c>
      <c r="FN21" s="6">
        <v>417771.78</v>
      </c>
      <c r="FO21" s="6">
        <v>1868496.51</v>
      </c>
      <c r="FP21" s="6">
        <v>5440218.26</v>
      </c>
      <c r="FQ21" s="6">
        <v>2145111.18</v>
      </c>
      <c r="FR21" s="6">
        <v>2081816.55</v>
      </c>
      <c r="FS21" s="6">
        <v>17817.91</v>
      </c>
      <c r="FT21" s="6">
        <v>45476.72</v>
      </c>
      <c r="FU21" s="6">
        <v>6538.36</v>
      </c>
      <c r="FV21" s="6">
        <v>18367276.67</v>
      </c>
      <c r="FW21" s="6">
        <v>18164801.71</v>
      </c>
      <c r="FX21" s="6">
        <v>107988.57</v>
      </c>
      <c r="FY21" s="6">
        <v>94486.39</v>
      </c>
      <c r="FZ21" s="6">
        <v>3869774.82</v>
      </c>
      <c r="GA21" s="6">
        <v>22079148.83</v>
      </c>
      <c r="GB21" s="6">
        <v>20574754.3</v>
      </c>
      <c r="GC21" s="6">
        <v>629764.42</v>
      </c>
      <c r="GD21" s="6">
        <v>874630.11</v>
      </c>
      <c r="GE21" s="6">
        <v>837097.78</v>
      </c>
      <c r="GF21" s="6">
        <v>24670523.12</v>
      </c>
      <c r="GG21" s="6">
        <v>23555175.9</v>
      </c>
      <c r="GH21" s="6">
        <v>167271.27</v>
      </c>
      <c r="GI21" s="6">
        <v>948075.95</v>
      </c>
      <c r="GJ21" s="6">
        <v>930004.23</v>
      </c>
      <c r="GK21" s="6">
        <v>15336460.35</v>
      </c>
      <c r="GL21" s="6">
        <v>0</v>
      </c>
      <c r="GM21" s="6">
        <v>13360529.77</v>
      </c>
      <c r="GN21" s="6">
        <v>1975930.58</v>
      </c>
      <c r="GO21" s="6">
        <v>6859217</v>
      </c>
      <c r="GP21" s="6">
        <v>87100071.04</v>
      </c>
      <c r="GQ21" s="6">
        <v>46749671.95</v>
      </c>
      <c r="GR21" s="6">
        <v>15336460.35</v>
      </c>
      <c r="GS21" s="6">
        <v>111551889.69</v>
      </c>
      <c r="GT21" s="6">
        <v>37634313.65</v>
      </c>
      <c r="GU21" s="6">
        <v>0</v>
      </c>
      <c r="GV21" s="6">
        <v>105.113502373688</v>
      </c>
      <c r="GW21" s="6">
        <v>0.0369848218007397</v>
      </c>
      <c r="GX21" s="6">
        <v>-0.558608810300854</v>
      </c>
      <c r="GY21" s="6">
        <v>4.45879610352249</v>
      </c>
      <c r="GZ21" s="6">
        <v>3.77816536241199</v>
      </c>
      <c r="HA21" s="6">
        <v>100.691235133137</v>
      </c>
      <c r="HB21" s="6">
        <v>99.3032374300806</v>
      </c>
      <c r="HC21" s="6">
        <v>130.572054841592</v>
      </c>
      <c r="HD21" s="6">
        <v>29.7956591142665</v>
      </c>
      <c r="HE21" s="6">
        <v>111.486323373343</v>
      </c>
      <c r="HF21" s="6">
        <v>9.97493881819305</v>
      </c>
      <c r="HG21" s="6">
        <v>-1.97807818296589</v>
      </c>
      <c r="HH21" s="6">
        <v>1.93134988414058</v>
      </c>
      <c r="HI21" s="6">
        <v>8.63801886787466</v>
      </c>
      <c r="HJ21" s="6">
        <v>104.376808019466</v>
      </c>
      <c r="HK21" s="6">
        <v>90.4743389461279</v>
      </c>
      <c r="HL21" s="6">
        <v>25.150011104509</v>
      </c>
      <c r="HM21" s="6">
        <v>101.442323377511</v>
      </c>
      <c r="HN21" s="6">
        <v>-2.22283434257547</v>
      </c>
      <c r="HO21" s="6">
        <v>-0.483105932223087</v>
      </c>
      <c r="HP21" s="6">
        <v>0.842609094103637</v>
      </c>
      <c r="HQ21" s="6">
        <v>2.15059442111924</v>
      </c>
      <c r="HR21" s="6">
        <v>0.309199092178794</v>
      </c>
      <c r="HS21" s="6">
        <v>95.2693056872942</v>
      </c>
      <c r="HT21" s="6">
        <v>-1.73204632140486</v>
      </c>
      <c r="HU21" s="6">
        <v>-0.549450332222034</v>
      </c>
      <c r="HV21" s="6">
        <v>0.560126374252725</v>
      </c>
      <c r="HW21" s="6">
        <v>0.49009185923037</v>
      </c>
      <c r="HX21" s="6">
        <v>20.0721515166012</v>
      </c>
      <c r="HY21" s="6">
        <v>98.3992147465443</v>
      </c>
      <c r="HZ21" s="6">
        <v>-7.27331783859922</v>
      </c>
      <c r="IA21" s="6">
        <v>0.871449228026957</v>
      </c>
      <c r="IB21" s="6">
        <v>2.80664462568021</v>
      </c>
      <c r="IC21" s="6">
        <v>3.89792725617873</v>
      </c>
      <c r="ID21" s="6">
        <v>3.73065849830931</v>
      </c>
      <c r="IE21" s="6">
        <v>98.3293260928091</v>
      </c>
      <c r="IF21" s="6">
        <v>5.52312084310842</v>
      </c>
      <c r="IG21" s="6">
        <v>-0.0319372618479198</v>
      </c>
      <c r="IH21" s="6">
        <v>0.66669325063701</v>
      </c>
      <c r="II21" s="6">
        <v>3.77874716295435</v>
      </c>
      <c r="IJ21" s="6">
        <v>3.70671869236642</v>
      </c>
      <c r="IK21" s="6">
        <v>110.286038983269</v>
      </c>
      <c r="IL21" s="6">
        <v>5.17457578390197</v>
      </c>
      <c r="IM21" s="6">
        <v>2.91780523950631</v>
      </c>
      <c r="IN21" s="6">
        <v>96.0769221465989</v>
      </c>
      <c r="IO21" s="6">
        <v>14.2091168366705</v>
      </c>
      <c r="IP21" s="6">
        <v>49.3253238487135</v>
      </c>
      <c r="IQ21" s="6">
        <v>104.397920788278</v>
      </c>
      <c r="IR21" s="6">
        <v>2.23464601561256</v>
      </c>
      <c r="IS21" s="6">
        <v>-0.922603942998834</v>
      </c>
      <c r="IT21" s="6">
        <v>98.3623210500247</v>
      </c>
      <c r="IU21" s="6">
        <v>-0.492041852374392</v>
      </c>
      <c r="IV21" s="6">
        <v>0.394558270539018</v>
      </c>
      <c r="IW21" s="6">
        <v>110.286038983269</v>
      </c>
      <c r="IX21" s="6">
        <v>5.17457578390197</v>
      </c>
      <c r="IY21" s="6">
        <v>2.91780523950631</v>
      </c>
      <c r="IZ21" s="6">
        <v>101.923159901194</v>
      </c>
      <c r="JA21" s="6">
        <v>-1.05066480997837</v>
      </c>
      <c r="JB21" s="6">
        <v>-0.215664663014969</v>
      </c>
      <c r="JC21" s="6">
        <v>106.257876546977</v>
      </c>
      <c r="JD21" s="6">
        <v>9.95884861724636</v>
      </c>
      <c r="JE21" s="6">
        <v>0.168220819923298</v>
      </c>
      <c r="JF21" s="6">
        <v>0</v>
      </c>
      <c r="JG21" s="6">
        <v>0</v>
      </c>
      <c r="JH21" s="6">
        <v>0</v>
      </c>
      <c r="JI21" s="6">
        <v>10700505.792953</v>
      </c>
      <c r="JJ21" s="6">
        <v>5947427.465157</v>
      </c>
      <c r="JK21" s="6">
        <v>1742019.181385</v>
      </c>
      <c r="JL21" s="6">
        <v>13958295.689532</v>
      </c>
      <c r="JM21" s="6">
        <v>4431656.760351</v>
      </c>
      <c r="JN21" s="6">
        <v>-0.0103880017995834</v>
      </c>
      <c r="JO21" s="6">
        <v>10213989.62</v>
      </c>
      <c r="JP21" s="6">
        <v>6007794.04</v>
      </c>
      <c r="JQ21" s="6">
        <v>2272090.73</v>
      </c>
      <c r="JR21" s="6">
        <v>13737452.43</v>
      </c>
      <c r="JS21" s="6">
        <v>4854454.96</v>
      </c>
      <c r="JT21" s="6">
        <v>-98033</v>
      </c>
      <c r="JU21" s="6">
        <v>-2.6455542751059</v>
      </c>
      <c r="JV21" s="6">
        <v>1.0168764039073</v>
      </c>
      <c r="JW21" s="6">
        <v>0.328258460926489</v>
      </c>
      <c r="JX21" s="6">
        <v>-0.563995321620572</v>
      </c>
      <c r="JY21" s="6">
        <v>2.8823976046648</v>
      </c>
      <c r="JZ21" s="6">
        <v>0.951815198766259</v>
      </c>
      <c r="KA21" s="6">
        <v>-1.20089086830756</v>
      </c>
      <c r="KB21" s="6">
        <v>-0.0778113936350776</v>
      </c>
      <c r="KC21" s="6">
        <v>2.29907174061517</v>
      </c>
      <c r="KD21" s="6">
        <v>1.4825076182007</v>
      </c>
      <c r="KE21" s="6">
        <v>-0.533079081822195</v>
      </c>
      <c r="KF21" s="6">
        <v>5.64873771901321e-8</v>
      </c>
    </row>
    <row r="22" s="1" customFormat="1" ht="14.55" customHeight="1" spans="1:292">
      <c r="A22" s="5" t="s">
        <v>60</v>
      </c>
      <c r="B22" s="5" t="s">
        <v>97</v>
      </c>
      <c r="C22" s="5" t="s">
        <v>97</v>
      </c>
      <c r="D22" s="5" t="s">
        <v>97</v>
      </c>
      <c r="E22" s="5" t="s">
        <v>138</v>
      </c>
      <c r="F22" s="6">
        <v>154943</v>
      </c>
      <c r="G22" s="6">
        <v>129014</v>
      </c>
      <c r="H22" s="6">
        <v>8783</v>
      </c>
      <c r="I22" s="6">
        <v>17146</v>
      </c>
      <c r="J22" s="6">
        <v>79790</v>
      </c>
      <c r="K22" s="6">
        <v>68370</v>
      </c>
      <c r="L22" s="6">
        <v>11420</v>
      </c>
      <c r="M22" s="6">
        <v>39968</v>
      </c>
      <c r="N22" s="6">
        <v>81957</v>
      </c>
      <c r="O22" s="6">
        <v>1432</v>
      </c>
      <c r="P22" s="6">
        <v>29303</v>
      </c>
      <c r="Q22" s="6">
        <v>0</v>
      </c>
      <c r="R22" s="6">
        <v>147958</v>
      </c>
      <c r="S22" s="6">
        <v>140098</v>
      </c>
      <c r="T22" s="6">
        <v>117903</v>
      </c>
      <c r="U22" s="6">
        <v>7142</v>
      </c>
      <c r="V22" s="6">
        <v>15053</v>
      </c>
      <c r="W22" s="6">
        <v>2541</v>
      </c>
      <c r="X22" s="6">
        <v>5319</v>
      </c>
      <c r="Y22" s="6">
        <v>6505</v>
      </c>
      <c r="Z22" s="6">
        <v>118896</v>
      </c>
      <c r="AA22" s="6">
        <v>113765</v>
      </c>
      <c r="AB22" s="6">
        <v>99770</v>
      </c>
      <c r="AC22" s="6">
        <v>419</v>
      </c>
      <c r="AD22" s="6">
        <v>13576</v>
      </c>
      <c r="AE22" s="6">
        <v>1561</v>
      </c>
      <c r="AF22" s="6">
        <v>3570</v>
      </c>
      <c r="AG22" s="6">
        <v>4445</v>
      </c>
      <c r="AH22" s="6">
        <v>78661</v>
      </c>
      <c r="AI22" s="6">
        <v>75272</v>
      </c>
      <c r="AJ22" s="6">
        <v>64028</v>
      </c>
      <c r="AK22" s="6">
        <v>11244</v>
      </c>
      <c r="AL22" s="6">
        <v>614</v>
      </c>
      <c r="AM22" s="6">
        <v>2775</v>
      </c>
      <c r="AN22" s="6">
        <v>1346</v>
      </c>
      <c r="AO22" s="6">
        <v>38631</v>
      </c>
      <c r="AP22" s="6">
        <v>35694</v>
      </c>
      <c r="AQ22" s="6">
        <v>35609</v>
      </c>
      <c r="AR22" s="6">
        <v>85</v>
      </c>
      <c r="AS22" s="6">
        <v>457</v>
      </c>
      <c r="AT22" s="6">
        <v>2480</v>
      </c>
      <c r="AU22" s="6">
        <v>930</v>
      </c>
      <c r="AV22" s="6">
        <v>37837</v>
      </c>
      <c r="AW22" s="6">
        <v>35518</v>
      </c>
      <c r="AX22" s="6">
        <v>352</v>
      </c>
      <c r="AY22" s="6">
        <v>1967</v>
      </c>
      <c r="AZ22" s="6">
        <v>3</v>
      </c>
      <c r="BA22" s="6">
        <v>17136</v>
      </c>
      <c r="BB22" s="6">
        <v>15593</v>
      </c>
      <c r="BC22" s="6">
        <v>214</v>
      </c>
      <c r="BD22" s="6">
        <v>1329</v>
      </c>
      <c r="BE22" s="6">
        <v>1</v>
      </c>
      <c r="BF22" s="6">
        <v>80320</v>
      </c>
      <c r="BG22" s="6">
        <v>78804</v>
      </c>
      <c r="BH22" s="6">
        <v>899</v>
      </c>
      <c r="BI22" s="6">
        <v>617</v>
      </c>
      <c r="BJ22" s="6">
        <v>2729</v>
      </c>
      <c r="BK22" s="6">
        <v>1330</v>
      </c>
      <c r="BL22" s="6">
        <v>1137</v>
      </c>
      <c r="BM22" s="6">
        <v>19</v>
      </c>
      <c r="BN22" s="6">
        <v>174</v>
      </c>
      <c r="BO22" s="6">
        <v>3</v>
      </c>
      <c r="BP22" s="6">
        <v>28424</v>
      </c>
      <c r="BQ22" s="6">
        <v>25070</v>
      </c>
      <c r="BR22" s="6">
        <v>1641</v>
      </c>
      <c r="BS22" s="6">
        <v>1713</v>
      </c>
      <c r="BT22" s="6">
        <v>7</v>
      </c>
      <c r="BU22" s="6">
        <v>172</v>
      </c>
      <c r="BV22" s="6">
        <v>0</v>
      </c>
      <c r="BW22" s="6">
        <v>172</v>
      </c>
      <c r="BX22" s="6">
        <v>0</v>
      </c>
      <c r="BY22" s="6">
        <v>0</v>
      </c>
      <c r="BZ22" s="6">
        <v>95.4918905662082</v>
      </c>
      <c r="CA22" s="6">
        <v>0.134747709065353</v>
      </c>
      <c r="CB22" s="6">
        <v>-0.80287589629735</v>
      </c>
      <c r="CC22" s="6">
        <v>1.63995792000929</v>
      </c>
      <c r="CD22" s="6">
        <v>3.43287531543858</v>
      </c>
      <c r="CE22" s="6">
        <v>91.387756367526</v>
      </c>
      <c r="CF22" s="6">
        <v>81.3161789821246</v>
      </c>
      <c r="CG22" s="6">
        <v>87.7930712702671</v>
      </c>
      <c r="CH22" s="6">
        <v>76.7353155676604</v>
      </c>
      <c r="CI22" s="6">
        <v>-0.593204287935301</v>
      </c>
      <c r="CJ22" s="6">
        <v>-0.931955622390168</v>
      </c>
      <c r="CK22" s="6">
        <v>1.00746726215447</v>
      </c>
      <c r="CL22" s="6">
        <v>2.30407311075686</v>
      </c>
      <c r="CM22" s="6">
        <v>77.3326925759995</v>
      </c>
      <c r="CN22" s="6">
        <v>4.77057952863486</v>
      </c>
      <c r="CO22" s="6">
        <v>79.1788172168436</v>
      </c>
      <c r="CP22" s="6">
        <v>98.5850357187617</v>
      </c>
      <c r="CQ22" s="6">
        <v>4.45093112662387</v>
      </c>
      <c r="CR22" s="6">
        <v>0.620378493545559</v>
      </c>
      <c r="CS22" s="6">
        <v>0.769519989973681</v>
      </c>
      <c r="CT22" s="6">
        <v>3.47787943351297</v>
      </c>
      <c r="CU22" s="6">
        <v>93.6492613719467</v>
      </c>
      <c r="CV22" s="6">
        <v>98.4588441330998</v>
      </c>
      <c r="CW22" s="6">
        <v>48.4158415841584</v>
      </c>
      <c r="CX22" s="6">
        <v>1.60790863645449</v>
      </c>
      <c r="CY22" s="6">
        <v>-2.34615866649956</v>
      </c>
      <c r="CZ22" s="6">
        <v>0.572753477879434</v>
      </c>
      <c r="DA22" s="6">
        <v>3.10815891715754</v>
      </c>
      <c r="DB22" s="6">
        <v>52.0827848471552</v>
      </c>
      <c r="DC22" s="6">
        <v>0.74430823117338</v>
      </c>
      <c r="DD22" s="6">
        <v>94.6682345876701</v>
      </c>
      <c r="DE22" s="6">
        <v>-3.86156833821548</v>
      </c>
      <c r="DF22" s="6">
        <v>-0.930744595676536</v>
      </c>
      <c r="DG22" s="6">
        <v>0.880704563650921</v>
      </c>
      <c r="DH22" s="6">
        <v>4.92143714971978</v>
      </c>
      <c r="DI22" s="6">
        <v>45.2890028279198</v>
      </c>
      <c r="DJ22" s="6">
        <v>0.85137551793375</v>
      </c>
      <c r="DK22" s="6">
        <v>0.55870368373907</v>
      </c>
      <c r="DL22" s="6">
        <v>0.565583952216085</v>
      </c>
      <c r="DM22" s="6">
        <v>3.51243491820176</v>
      </c>
      <c r="DN22" s="6">
        <v>98.0026111253462</v>
      </c>
      <c r="DO22" s="6">
        <v>1.12026502968696</v>
      </c>
      <c r="DP22" s="6">
        <v>-0.2806349671169</v>
      </c>
      <c r="DQ22" s="6">
        <v>1.09691667581781</v>
      </c>
      <c r="DR22" s="6">
        <v>0.752833803091865</v>
      </c>
      <c r="DS22" s="6">
        <v>92.877094972067</v>
      </c>
      <c r="DT22" s="6">
        <v>-6.90692230655067</v>
      </c>
      <c r="DU22" s="6">
        <v>-2.37430167597765</v>
      </c>
      <c r="DV22" s="6">
        <v>1.3268156424581</v>
      </c>
      <c r="DW22" s="6">
        <v>12.1508379888268</v>
      </c>
      <c r="DX22" s="6">
        <v>97.0003071357881</v>
      </c>
      <c r="DY22" s="6">
        <v>-8.52349522564676</v>
      </c>
      <c r="DZ22" s="6">
        <v>6.71944852062929</v>
      </c>
      <c r="EA22" s="6">
        <v>5.60010920383578</v>
      </c>
      <c r="EB22" s="6">
        <v>5.84581783435143</v>
      </c>
      <c r="EC22" s="6" t="e">
        <v>#DIV/0!</v>
      </c>
      <c r="ED22" s="6" t="e">
        <v>#NUM!</v>
      </c>
      <c r="EE22" s="6" t="e">
        <v>#NUM!</v>
      </c>
      <c r="EF22" s="6" t="e">
        <v>#DIV/0!</v>
      </c>
      <c r="EG22" s="6">
        <v>0</v>
      </c>
      <c r="EH22" s="6">
        <v>82080735.658329</v>
      </c>
      <c r="EI22" s="6">
        <v>65624080.430915</v>
      </c>
      <c r="EJ22" s="6">
        <v>7546743.577733</v>
      </c>
      <c r="EK22" s="6">
        <v>5590164.154678</v>
      </c>
      <c r="EL22" s="6">
        <v>3319747.495003</v>
      </c>
      <c r="EM22" s="6">
        <v>24335395.644385</v>
      </c>
      <c r="EN22" s="6">
        <v>23566024.829433</v>
      </c>
      <c r="EO22" s="6">
        <v>302421.390627</v>
      </c>
      <c r="EP22" s="6">
        <v>466949.424325</v>
      </c>
      <c r="EQ22" s="6">
        <v>2686072.334618</v>
      </c>
      <c r="ER22" s="6">
        <v>28243171.097887</v>
      </c>
      <c r="ES22" s="6">
        <v>16325249.826563</v>
      </c>
      <c r="ET22" s="6">
        <v>47176205.332586</v>
      </c>
      <c r="EU22" s="6">
        <v>14230626.333277</v>
      </c>
      <c r="EV22" s="6">
        <v>137345374.735219</v>
      </c>
      <c r="EW22" s="6">
        <v>63501455.159149</v>
      </c>
      <c r="EX22" s="6">
        <v>14230626.333277</v>
      </c>
      <c r="EY22" s="6">
        <v>145381210.957645</v>
      </c>
      <c r="EZ22" s="6">
        <v>69696294.81</v>
      </c>
      <c r="FA22" s="6">
        <v>-49.54</v>
      </c>
      <c r="FB22" s="6">
        <v>56579984.95</v>
      </c>
      <c r="FC22" s="6">
        <v>53514233.37</v>
      </c>
      <c r="FD22" s="6">
        <v>44729560.19</v>
      </c>
      <c r="FE22" s="6">
        <v>4820735.02</v>
      </c>
      <c r="FF22" s="6">
        <v>3963938.16</v>
      </c>
      <c r="FG22" s="6">
        <v>1954950.32</v>
      </c>
      <c r="FH22" s="6">
        <v>1110801.26</v>
      </c>
      <c r="FI22" s="6">
        <v>12029255.07</v>
      </c>
      <c r="FJ22" s="6">
        <v>16489598.23</v>
      </c>
      <c r="FK22" s="6">
        <v>15655065.88</v>
      </c>
      <c r="FL22" s="6">
        <v>15494804.23</v>
      </c>
      <c r="FM22" s="6">
        <v>160261.65</v>
      </c>
      <c r="FN22" s="6">
        <v>222383.24</v>
      </c>
      <c r="FO22" s="6">
        <v>612149.11</v>
      </c>
      <c r="FP22" s="6">
        <v>2253463.11</v>
      </c>
      <c r="FQ22" s="6">
        <v>1766361.69</v>
      </c>
      <c r="FR22" s="6">
        <v>1680996.82</v>
      </c>
      <c r="FS22" s="6">
        <v>16248.84</v>
      </c>
      <c r="FT22" s="6">
        <v>69116.03</v>
      </c>
      <c r="FU22" s="6">
        <v>6446.72</v>
      </c>
      <c r="FV22" s="6">
        <v>19322838.48</v>
      </c>
      <c r="FW22" s="6">
        <v>17425888.58</v>
      </c>
      <c r="FX22" s="6">
        <v>168329.4</v>
      </c>
      <c r="FY22" s="6">
        <v>1728620.5</v>
      </c>
      <c r="FZ22" s="6">
        <v>6074311.33</v>
      </c>
      <c r="GA22" s="6">
        <v>11324780.88</v>
      </c>
      <c r="GB22" s="6">
        <v>10532617.01</v>
      </c>
      <c r="GC22" s="6">
        <v>433415.81</v>
      </c>
      <c r="GD22" s="6">
        <v>358748.06</v>
      </c>
      <c r="GE22" s="6">
        <v>1619075.97</v>
      </c>
      <c r="GF22" s="6">
        <v>29951735.86</v>
      </c>
      <c r="GG22" s="6">
        <v>28954932.95</v>
      </c>
      <c r="GH22" s="6">
        <v>331205.7</v>
      </c>
      <c r="GI22" s="6">
        <v>665597.21</v>
      </c>
      <c r="GJ22" s="6">
        <v>821032.53</v>
      </c>
      <c r="GK22" s="6">
        <v>12594242.78</v>
      </c>
      <c r="GL22" s="6">
        <v>0</v>
      </c>
      <c r="GM22" s="6">
        <v>10399154.1</v>
      </c>
      <c r="GN22" s="6">
        <v>2195088.68</v>
      </c>
      <c r="GO22" s="6">
        <v>4862582.32</v>
      </c>
      <c r="GP22" s="6">
        <v>94158783.35</v>
      </c>
      <c r="GQ22" s="6">
        <v>41276516.74</v>
      </c>
      <c r="GR22" s="6">
        <v>12594242.78</v>
      </c>
      <c r="GS22" s="6">
        <v>99275127.35</v>
      </c>
      <c r="GT22" s="6">
        <v>48754420.11</v>
      </c>
      <c r="GU22" s="6">
        <v>-4.59</v>
      </c>
      <c r="GV22" s="6">
        <v>103.398168576707</v>
      </c>
      <c r="GW22" s="6">
        <v>-1.08239558862558</v>
      </c>
      <c r="GX22" s="6">
        <v>-0.172722112658003</v>
      </c>
      <c r="GY22" s="6">
        <v>3.57261110841718</v>
      </c>
      <c r="GZ22" s="6">
        <v>2.02995486899114</v>
      </c>
      <c r="HA22" s="6">
        <v>102.240427362076</v>
      </c>
      <c r="HB22" s="6">
        <v>95.8175199079996</v>
      </c>
      <c r="HC22" s="6">
        <v>106.363732360602</v>
      </c>
      <c r="HD22" s="6">
        <v>21.9830907462987</v>
      </c>
      <c r="HE22" s="6">
        <v>101.639594056516</v>
      </c>
      <c r="HF22" s="6">
        <v>4.15470703108838</v>
      </c>
      <c r="HG22" s="6">
        <v>-0.014963380543942</v>
      </c>
      <c r="HH22" s="6">
        <v>1.37073941543649</v>
      </c>
      <c r="HI22" s="6">
        <v>3.77320212261215</v>
      </c>
      <c r="HJ22" s="6">
        <v>98.6259096017392</v>
      </c>
      <c r="HK22" s="6">
        <v>79.4892433043848</v>
      </c>
      <c r="HL22" s="6">
        <v>13.8900337368459</v>
      </c>
      <c r="HM22" s="6">
        <v>98.6400291925424</v>
      </c>
      <c r="HN22" s="6">
        <v>-4.3654112754102</v>
      </c>
      <c r="HO22" s="6">
        <v>-0.0268835170586845</v>
      </c>
      <c r="HP22" s="6">
        <v>0.907394029783872</v>
      </c>
      <c r="HQ22" s="6">
        <v>3.85968924454687</v>
      </c>
      <c r="HR22" s="6">
        <v>0.360008175333641</v>
      </c>
      <c r="HS22" s="6">
        <v>102.623949766634</v>
      </c>
      <c r="HT22" s="6">
        <v>-0.400776693790701</v>
      </c>
      <c r="HU22" s="6">
        <v>-1.73744356927651</v>
      </c>
      <c r="HV22" s="6">
        <v>0.894000532464608</v>
      </c>
      <c r="HW22" s="6">
        <v>9.18073519794662</v>
      </c>
      <c r="HX22" s="6">
        <v>32.260778945186</v>
      </c>
      <c r="HY22" s="6">
        <v>104.054587222059</v>
      </c>
      <c r="HZ22" s="6">
        <v>10.8545084822562</v>
      </c>
      <c r="IA22" s="6">
        <v>-0.781603510328321</v>
      </c>
      <c r="IB22" s="6">
        <v>3.98232015991679</v>
      </c>
      <c r="IC22" s="6">
        <v>3.29625638637649</v>
      </c>
      <c r="ID22" s="6">
        <v>14.8764275021897</v>
      </c>
      <c r="IE22" s="6">
        <v>95.2336108283113</v>
      </c>
      <c r="IF22" s="6">
        <v>-17.3858362205248</v>
      </c>
      <c r="IG22" s="6">
        <v>-0.950881260058523</v>
      </c>
      <c r="IH22" s="6">
        <v>1.05309137625115</v>
      </c>
      <c r="II22" s="6">
        <v>2.11631225521731</v>
      </c>
      <c r="IJ22" s="6">
        <v>2.61052958015115</v>
      </c>
      <c r="IK22" s="6">
        <v>132.751459616534</v>
      </c>
      <c r="IL22" s="6">
        <v>11.7449721550447</v>
      </c>
      <c r="IM22" s="6">
        <v>-1.64773489390252</v>
      </c>
      <c r="IN22" s="6">
        <v>109.613806059427</v>
      </c>
      <c r="IO22" s="6">
        <v>23.1376535571065</v>
      </c>
      <c r="IP22" s="6">
        <v>51.2547607475572</v>
      </c>
      <c r="IQ22" s="6">
        <v>102.834314804766</v>
      </c>
      <c r="IR22" s="6">
        <v>0.0255346074340642</v>
      </c>
      <c r="IS22" s="6">
        <v>-0.463680885150636</v>
      </c>
      <c r="IT22" s="6">
        <v>97.5013485200104</v>
      </c>
      <c r="IU22" s="6">
        <v>-9.45756540491063</v>
      </c>
      <c r="IV22" s="6">
        <v>-0.907362547810153</v>
      </c>
      <c r="IW22" s="6">
        <v>132.751459616534</v>
      </c>
      <c r="IX22" s="6">
        <v>11.7449721550447</v>
      </c>
      <c r="IY22" s="6">
        <v>-1.64773489390252</v>
      </c>
      <c r="IZ22" s="6">
        <v>102.429117245683</v>
      </c>
      <c r="JA22" s="6">
        <v>0.572466670893124</v>
      </c>
      <c r="JB22" s="6">
        <v>-0.606760571478216</v>
      </c>
      <c r="JC22" s="6">
        <v>104.92900715076</v>
      </c>
      <c r="JD22" s="6">
        <v>-7.90138110435523</v>
      </c>
      <c r="JE22" s="6">
        <v>-0.811235066530828</v>
      </c>
      <c r="JF22" s="6">
        <v>13.8978603148971</v>
      </c>
      <c r="JG22" s="6">
        <v>18.4061962772336</v>
      </c>
      <c r="JH22" s="6">
        <v>-1.98540861641386</v>
      </c>
      <c r="JI22" s="6">
        <v>11658322.020306</v>
      </c>
      <c r="JJ22" s="6">
        <v>5297382.323332</v>
      </c>
      <c r="JK22" s="6">
        <v>1192927.635887</v>
      </c>
      <c r="JL22" s="6">
        <v>12322332.415738</v>
      </c>
      <c r="JM22" s="6">
        <v>5826303.698641</v>
      </c>
      <c r="JN22" s="6">
        <v>-4.134854</v>
      </c>
      <c r="JO22" s="6">
        <v>11398355.44</v>
      </c>
      <c r="JP22" s="6">
        <v>4823454.68</v>
      </c>
      <c r="JQ22" s="6">
        <v>1437498.6</v>
      </c>
      <c r="JR22" s="6">
        <v>11894823.33</v>
      </c>
      <c r="JS22" s="6">
        <v>6422342.49</v>
      </c>
      <c r="JT22" s="6">
        <v>-657857.1</v>
      </c>
      <c r="JU22" s="6">
        <v>-1.43243072314922</v>
      </c>
      <c r="JV22" s="6">
        <v>0.614514077809394</v>
      </c>
      <c r="JW22" s="6">
        <v>-2.61136841535317</v>
      </c>
      <c r="JX22" s="6">
        <v>-0.759383577712541</v>
      </c>
      <c r="JY22" s="6">
        <v>1.34759999755861</v>
      </c>
      <c r="JZ22" s="6">
        <v>2.10127524787122</v>
      </c>
      <c r="KA22" s="6">
        <v>-2.35559950865888</v>
      </c>
      <c r="KB22" s="6">
        <v>0.479697329860552</v>
      </c>
      <c r="KC22" s="6">
        <v>3.28420782366099</v>
      </c>
      <c r="KD22" s="6">
        <v>1.47668879622085</v>
      </c>
      <c r="KE22" s="6">
        <v>-3.62480745594588</v>
      </c>
      <c r="KF22" s="6">
        <v>1.9621886674531e-5</v>
      </c>
    </row>
    <row r="23" s="1" customFormat="1" ht="14.55" customHeight="1" spans="1:292">
      <c r="A23" s="5" t="s">
        <v>65</v>
      </c>
      <c r="B23" s="5" t="s">
        <v>97</v>
      </c>
      <c r="C23" s="5" t="s">
        <v>97</v>
      </c>
      <c r="D23" s="5" t="s">
        <v>97</v>
      </c>
      <c r="E23" s="5" t="s">
        <v>138</v>
      </c>
      <c r="F23" s="6">
        <v>100945</v>
      </c>
      <c r="G23" s="6">
        <v>56229</v>
      </c>
      <c r="H23" s="6">
        <v>4990</v>
      </c>
      <c r="I23" s="6">
        <v>39726</v>
      </c>
      <c r="J23" s="6">
        <v>57760</v>
      </c>
      <c r="K23" s="6">
        <v>55758</v>
      </c>
      <c r="L23" s="6">
        <v>2002</v>
      </c>
      <c r="M23" s="6">
        <v>29991</v>
      </c>
      <c r="N23" s="6">
        <v>49909</v>
      </c>
      <c r="O23" s="6">
        <v>1806</v>
      </c>
      <c r="P23" s="6">
        <v>26022</v>
      </c>
      <c r="Q23" s="6">
        <v>0</v>
      </c>
      <c r="R23" s="6">
        <v>92393</v>
      </c>
      <c r="S23" s="6">
        <v>87633</v>
      </c>
      <c r="T23" s="6">
        <v>50672</v>
      </c>
      <c r="U23" s="6">
        <v>3901</v>
      </c>
      <c r="V23" s="6">
        <v>33060</v>
      </c>
      <c r="W23" s="6">
        <v>1747</v>
      </c>
      <c r="X23" s="6">
        <v>3013</v>
      </c>
      <c r="Y23" s="6">
        <v>3885</v>
      </c>
      <c r="Z23" s="6">
        <v>71250</v>
      </c>
      <c r="AA23" s="6">
        <v>68056</v>
      </c>
      <c r="AB23" s="6">
        <v>38027</v>
      </c>
      <c r="AC23" s="6">
        <v>198</v>
      </c>
      <c r="AD23" s="6">
        <v>29831</v>
      </c>
      <c r="AE23" s="6">
        <v>1122</v>
      </c>
      <c r="AF23" s="6">
        <v>2072</v>
      </c>
      <c r="AG23" s="6">
        <v>2529</v>
      </c>
      <c r="AH23" s="6">
        <v>51688</v>
      </c>
      <c r="AI23" s="6">
        <v>48978</v>
      </c>
      <c r="AJ23" s="6">
        <v>47666</v>
      </c>
      <c r="AK23" s="6">
        <v>1312</v>
      </c>
      <c r="AL23" s="6">
        <v>517</v>
      </c>
      <c r="AM23" s="6">
        <v>2193</v>
      </c>
      <c r="AN23" s="6">
        <v>1576</v>
      </c>
      <c r="AO23" s="6">
        <v>32322</v>
      </c>
      <c r="AP23" s="6">
        <v>30119</v>
      </c>
      <c r="AQ23" s="6">
        <v>30028</v>
      </c>
      <c r="AR23" s="6">
        <v>91</v>
      </c>
      <c r="AS23" s="6">
        <v>344</v>
      </c>
      <c r="AT23" s="6">
        <v>1859</v>
      </c>
      <c r="AU23" s="6">
        <v>1058</v>
      </c>
      <c r="AV23" s="6">
        <v>28745</v>
      </c>
      <c r="AW23" s="6">
        <v>27596</v>
      </c>
      <c r="AX23" s="6">
        <v>321</v>
      </c>
      <c r="AY23" s="6">
        <v>828</v>
      </c>
      <c r="AZ23" s="6">
        <v>9</v>
      </c>
      <c r="BA23" s="6">
        <v>15995</v>
      </c>
      <c r="BB23" s="6">
        <v>15237</v>
      </c>
      <c r="BC23" s="6">
        <v>144</v>
      </c>
      <c r="BD23" s="6">
        <v>614</v>
      </c>
      <c r="BE23" s="6">
        <v>1</v>
      </c>
      <c r="BF23" s="6">
        <v>48377</v>
      </c>
      <c r="BG23" s="6">
        <v>47509</v>
      </c>
      <c r="BH23" s="6">
        <v>272</v>
      </c>
      <c r="BI23" s="6">
        <v>596</v>
      </c>
      <c r="BJ23" s="6">
        <v>2681</v>
      </c>
      <c r="BK23" s="6">
        <v>1525</v>
      </c>
      <c r="BL23" s="6">
        <v>1339</v>
      </c>
      <c r="BM23" s="6">
        <v>31</v>
      </c>
      <c r="BN23" s="6">
        <v>155</v>
      </c>
      <c r="BO23" s="6">
        <v>5</v>
      </c>
      <c r="BP23" s="6">
        <v>27088</v>
      </c>
      <c r="BQ23" s="6">
        <v>24338</v>
      </c>
      <c r="BR23" s="6">
        <v>353</v>
      </c>
      <c r="BS23" s="6">
        <v>2397</v>
      </c>
      <c r="BT23" s="6">
        <v>7</v>
      </c>
      <c r="BU23" s="6">
        <v>493</v>
      </c>
      <c r="BV23" s="6">
        <v>0</v>
      </c>
      <c r="BW23" s="6">
        <v>493</v>
      </c>
      <c r="BX23" s="6">
        <v>0</v>
      </c>
      <c r="BY23" s="6">
        <v>0</v>
      </c>
      <c r="BZ23" s="6">
        <v>91.5280598345634</v>
      </c>
      <c r="CA23" s="6">
        <v>1.6182163326355</v>
      </c>
      <c r="CB23" s="6">
        <v>-1.22641042151667</v>
      </c>
      <c r="CC23" s="6">
        <v>1.73064540096092</v>
      </c>
      <c r="CD23" s="6">
        <v>2.98479369953935</v>
      </c>
      <c r="CE23" s="6">
        <v>90.1171993099646</v>
      </c>
      <c r="CF23" s="6">
        <v>78.1763527054108</v>
      </c>
      <c r="CG23" s="6">
        <v>83.220057393143</v>
      </c>
      <c r="CH23" s="6">
        <v>70.5829907375303</v>
      </c>
      <c r="CI23" s="6">
        <v>0.889371625108781</v>
      </c>
      <c r="CJ23" s="6">
        <v>-1.5305364307296</v>
      </c>
      <c r="CK23" s="6">
        <v>1.11149635940364</v>
      </c>
      <c r="CL23" s="6">
        <v>2.05260290257071</v>
      </c>
      <c r="CM23" s="6">
        <v>67.6288036422487</v>
      </c>
      <c r="CN23" s="6">
        <v>3.96793587174349</v>
      </c>
      <c r="CO23" s="6">
        <v>75.0918793737099</v>
      </c>
      <c r="CP23" s="6">
        <v>89.4875346260388</v>
      </c>
      <c r="CQ23" s="6">
        <v>-14.0663773409919</v>
      </c>
      <c r="CR23" s="6">
        <v>-1.40062326869806</v>
      </c>
      <c r="CS23" s="6">
        <v>0.895083102493075</v>
      </c>
      <c r="CT23" s="6">
        <v>3.79674515235457</v>
      </c>
      <c r="CU23" s="6">
        <v>85.48728433588</v>
      </c>
      <c r="CV23" s="6">
        <v>65.5344655344655</v>
      </c>
      <c r="CW23" s="6">
        <v>55.9591412742382</v>
      </c>
      <c r="CX23" s="6">
        <v>0.0743456868555481</v>
      </c>
      <c r="CY23" s="6">
        <v>-15.8864265927978</v>
      </c>
      <c r="CZ23" s="6">
        <v>0.595567867036011</v>
      </c>
      <c r="DA23" s="6">
        <v>3.21849030470914</v>
      </c>
      <c r="DB23" s="6">
        <v>53.8541554575128</v>
      </c>
      <c r="DC23" s="6">
        <v>4.54545454545455</v>
      </c>
      <c r="DD23" s="6">
        <v>95.8454202927545</v>
      </c>
      <c r="DE23" s="6">
        <v>-2.94372103919004</v>
      </c>
      <c r="DF23" s="6">
        <v>-1.29705578340169</v>
      </c>
      <c r="DG23" s="6">
        <v>1.0703210963289</v>
      </c>
      <c r="DH23" s="6">
        <v>2.76082824847454</v>
      </c>
      <c r="DI23" s="6">
        <v>55.6444599060706</v>
      </c>
      <c r="DJ23" s="6">
        <v>-1.66031768865755</v>
      </c>
      <c r="DK23" s="6">
        <v>0.784159226452308</v>
      </c>
      <c r="DL23" s="6">
        <v>0.500956688119673</v>
      </c>
      <c r="DM23" s="6">
        <v>2.13602365628805</v>
      </c>
      <c r="DN23" s="6">
        <v>96.9304133523012</v>
      </c>
      <c r="DO23" s="6">
        <v>0.375665413021808</v>
      </c>
      <c r="DP23" s="6">
        <v>-0.19836101705103</v>
      </c>
      <c r="DQ23" s="6">
        <v>0.544991885231121</v>
      </c>
      <c r="DR23" s="6">
        <v>1.19417339557996</v>
      </c>
      <c r="DS23" s="6">
        <v>84.4407530454042</v>
      </c>
      <c r="DT23" s="6">
        <v>-13.4747072904383</v>
      </c>
      <c r="DU23" s="6">
        <v>-2.82392026578073</v>
      </c>
      <c r="DV23" s="6">
        <v>1.71650055370986</v>
      </c>
      <c r="DW23" s="6">
        <v>8.58250276854928</v>
      </c>
      <c r="DX23" s="6">
        <v>104.096533702252</v>
      </c>
      <c r="DY23" s="6">
        <v>-3.25468096405348</v>
      </c>
      <c r="DZ23" s="6">
        <v>0.672507877949413</v>
      </c>
      <c r="EA23" s="6">
        <v>1.35654446237799</v>
      </c>
      <c r="EB23" s="6">
        <v>9.2114364768273</v>
      </c>
      <c r="EC23" s="6" t="e">
        <v>#DIV/0!</v>
      </c>
      <c r="ED23" s="6" t="e">
        <v>#DIV/0!</v>
      </c>
      <c r="EE23" s="6" t="e">
        <v>#NUM!</v>
      </c>
      <c r="EF23" s="6" t="e">
        <v>#DIV/0!</v>
      </c>
      <c r="EG23" s="6">
        <v>0</v>
      </c>
      <c r="EH23" s="6">
        <v>45239324.549831</v>
      </c>
      <c r="EI23" s="6">
        <v>29026090.363286</v>
      </c>
      <c r="EJ23" s="6">
        <v>4852156.541342</v>
      </c>
      <c r="EK23" s="6">
        <v>9321011.539897</v>
      </c>
      <c r="EL23" s="6">
        <v>2040066.105306</v>
      </c>
      <c r="EM23" s="6">
        <v>21303271.653383</v>
      </c>
      <c r="EN23" s="6">
        <v>19090509.706941</v>
      </c>
      <c r="EO23" s="6">
        <v>478402.537795</v>
      </c>
      <c r="EP23" s="6">
        <v>1734359.408647</v>
      </c>
      <c r="EQ23" s="6">
        <v>2539163.503315</v>
      </c>
      <c r="ER23" s="6">
        <v>27811668.517962</v>
      </c>
      <c r="ES23" s="6">
        <v>31694393.002986</v>
      </c>
      <c r="ET23" s="6">
        <v>51166948.968662</v>
      </c>
      <c r="EU23" s="6">
        <v>28458123.178904</v>
      </c>
      <c r="EV23" s="6">
        <v>96893428.224491</v>
      </c>
      <c r="EW23" s="6">
        <v>82861341.971648</v>
      </c>
      <c r="EX23" s="6">
        <v>28458123.178904</v>
      </c>
      <c r="EY23" s="6">
        <v>128553361.885043</v>
      </c>
      <c r="EZ23" s="6">
        <v>79659531.49</v>
      </c>
      <c r="FA23" s="6">
        <v>0</v>
      </c>
      <c r="FB23" s="6">
        <v>31773891.38</v>
      </c>
      <c r="FC23" s="6">
        <v>29413549.47</v>
      </c>
      <c r="FD23" s="6">
        <v>19478420.11</v>
      </c>
      <c r="FE23" s="6">
        <v>2959778.04</v>
      </c>
      <c r="FF23" s="6">
        <v>6975351.32</v>
      </c>
      <c r="FG23" s="6">
        <v>1669544.76</v>
      </c>
      <c r="FH23" s="6">
        <v>690797.15</v>
      </c>
      <c r="FI23" s="6">
        <v>7177435.96</v>
      </c>
      <c r="FJ23" s="6">
        <v>15559253.95</v>
      </c>
      <c r="FK23" s="6">
        <v>14317526.18</v>
      </c>
      <c r="FL23" s="6">
        <v>13936702.1</v>
      </c>
      <c r="FM23" s="6">
        <v>380824.08</v>
      </c>
      <c r="FN23" s="6">
        <v>682677.29</v>
      </c>
      <c r="FO23" s="6">
        <v>559050.48</v>
      </c>
      <c r="FP23" s="6">
        <v>2374587.42</v>
      </c>
      <c r="FQ23" s="6">
        <v>1609341.54</v>
      </c>
      <c r="FR23" s="6">
        <v>1561315.94</v>
      </c>
      <c r="FS23" s="6">
        <v>25359.94</v>
      </c>
      <c r="FT23" s="6">
        <v>22665.66</v>
      </c>
      <c r="FU23" s="6">
        <v>45753.66</v>
      </c>
      <c r="FV23" s="6">
        <v>17105943.89</v>
      </c>
      <c r="FW23" s="6">
        <v>16939482.39</v>
      </c>
      <c r="FX23" s="6">
        <v>53013.77</v>
      </c>
      <c r="FY23" s="6">
        <v>113447.73</v>
      </c>
      <c r="FZ23" s="6">
        <v>7534343.83</v>
      </c>
      <c r="GA23" s="6">
        <v>21048314.34</v>
      </c>
      <c r="GB23" s="6">
        <v>18489491.59</v>
      </c>
      <c r="GC23" s="6">
        <v>1342211.54</v>
      </c>
      <c r="GD23" s="6">
        <v>1216611.21</v>
      </c>
      <c r="GE23" s="6">
        <v>1184121.79</v>
      </c>
      <c r="GF23" s="6">
        <v>34746691.84</v>
      </c>
      <c r="GG23" s="6">
        <v>30261251.13</v>
      </c>
      <c r="GH23" s="6">
        <v>362953.2</v>
      </c>
      <c r="GI23" s="6">
        <v>4122487.51</v>
      </c>
      <c r="GJ23" s="6">
        <v>1040188.86</v>
      </c>
      <c r="GK23" s="6">
        <v>17512856.45</v>
      </c>
      <c r="GL23" s="6">
        <v>0</v>
      </c>
      <c r="GM23" s="6">
        <v>15740653.64</v>
      </c>
      <c r="GN23" s="6">
        <v>1772202.81</v>
      </c>
      <c r="GO23" s="6">
        <v>8606655.19</v>
      </c>
      <c r="GP23" s="6">
        <v>66048430.76</v>
      </c>
      <c r="GQ23" s="6">
        <v>55795006.18</v>
      </c>
      <c r="GR23" s="6">
        <v>17512856.45</v>
      </c>
      <c r="GS23" s="6">
        <v>87374049.66</v>
      </c>
      <c r="GT23" s="6">
        <v>51982243.73</v>
      </c>
      <c r="GU23" s="6">
        <v>0</v>
      </c>
      <c r="GV23" s="6">
        <v>105.352671694958</v>
      </c>
      <c r="GW23" s="6">
        <v>4.82458218239407</v>
      </c>
      <c r="GX23" s="6">
        <v>-0.371539698420678</v>
      </c>
      <c r="GY23" s="6">
        <v>5.53570851227344</v>
      </c>
      <c r="GZ23" s="6">
        <v>2.29047567644082</v>
      </c>
      <c r="HA23" s="6">
        <v>100.659888394602</v>
      </c>
      <c r="HB23" s="6">
        <v>91.498842260602</v>
      </c>
      <c r="HC23" s="6">
        <v>112.252054781981</v>
      </c>
      <c r="HD23" s="6">
        <v>23.798219905209</v>
      </c>
      <c r="HE23" s="6">
        <v>109.555383345514</v>
      </c>
      <c r="HF23" s="6">
        <v>3.20814737297534</v>
      </c>
      <c r="HG23" s="6">
        <v>-1.43281488118326</v>
      </c>
      <c r="HH23" s="6">
        <v>4.80684822341541</v>
      </c>
      <c r="HI23" s="6">
        <v>3.93637058966402</v>
      </c>
      <c r="HJ23" s="6">
        <v>109.504950213033</v>
      </c>
      <c r="HK23" s="6">
        <v>119.404910064415</v>
      </c>
      <c r="HL23" s="6">
        <v>16.7198784672793</v>
      </c>
      <c r="HM23" s="6">
        <v>95.0711644542933</v>
      </c>
      <c r="HN23" s="6">
        <v>-12.5345546745919</v>
      </c>
      <c r="HO23" s="6">
        <v>-0.0241248741642774</v>
      </c>
      <c r="HP23" s="6">
        <v>1.49812762944714</v>
      </c>
      <c r="HQ23" s="6">
        <v>1.33896418862406</v>
      </c>
      <c r="HR23" s="6">
        <v>2.70287793245293</v>
      </c>
      <c r="HS23" s="6">
        <v>92.2595342254577</v>
      </c>
      <c r="HT23" s="6">
        <v>-0.998347224856533</v>
      </c>
      <c r="HU23" s="6">
        <v>-2.43228480671793</v>
      </c>
      <c r="HV23" s="6">
        <v>0.285925509822045</v>
      </c>
      <c r="HW23" s="6">
        <v>0.611871218334476</v>
      </c>
      <c r="HX23" s="6">
        <v>40.6358782023487</v>
      </c>
      <c r="HY23" s="6">
        <v>99.6153215713123</v>
      </c>
      <c r="HZ23" s="6">
        <v>5.16067191735633</v>
      </c>
      <c r="IA23" s="6">
        <v>-1.40557803741782</v>
      </c>
      <c r="IB23" s="6">
        <v>6.35228227847847</v>
      </c>
      <c r="IC23" s="6">
        <v>5.75785380975137</v>
      </c>
      <c r="ID23" s="6">
        <v>5.60409118683125</v>
      </c>
      <c r="IE23" s="6">
        <v>101.86270397307</v>
      </c>
      <c r="IF23" s="6">
        <v>9.12546652062696</v>
      </c>
      <c r="IG23" s="6">
        <v>-3.51898624685563</v>
      </c>
      <c r="IH23" s="6">
        <v>1.06402631185503</v>
      </c>
      <c r="II23" s="6">
        <v>12.0854015915378</v>
      </c>
      <c r="IJ23" s="6">
        <v>3.04939677164574</v>
      </c>
      <c r="IK23" s="6">
        <v>92.308563392801</v>
      </c>
      <c r="IL23" s="6">
        <v>-26.7582458690183</v>
      </c>
      <c r="IM23" s="6">
        <v>-0.514344065970046</v>
      </c>
      <c r="IN23" s="6">
        <v>82.967454710797</v>
      </c>
      <c r="IO23" s="6">
        <v>9.34110868200402</v>
      </c>
      <c r="IP23" s="6">
        <v>45.3648425928881</v>
      </c>
      <c r="IQ23" s="6">
        <v>102.249087430842</v>
      </c>
      <c r="IR23" s="6">
        <v>2.09238250231136</v>
      </c>
      <c r="IS23" s="6">
        <v>-1.1872735595859</v>
      </c>
      <c r="IT23" s="6">
        <v>101.003082111121</v>
      </c>
      <c r="IU23" s="6">
        <v>7.49653561723673</v>
      </c>
      <c r="IV23" s="6">
        <v>-2.71060939980219</v>
      </c>
      <c r="IW23" s="6">
        <v>92.308563392801</v>
      </c>
      <c r="IX23" s="6">
        <v>-26.7582458690183</v>
      </c>
      <c r="IY23" s="6">
        <v>-0.514344065970046</v>
      </c>
      <c r="IZ23" s="6">
        <v>101.950717249386</v>
      </c>
      <c r="JA23" s="6">
        <v>2.91078095794058</v>
      </c>
      <c r="JB23" s="6">
        <v>-1.34136639035702</v>
      </c>
      <c r="JC23" s="6">
        <v>97.8832841927878</v>
      </c>
      <c r="JD23" s="6">
        <v>-3.19234187164794</v>
      </c>
      <c r="JE23" s="6">
        <v>-2.28276318277976</v>
      </c>
      <c r="JF23" s="6">
        <v>0</v>
      </c>
      <c r="JG23" s="6" t="e">
        <v>#DIV/0!</v>
      </c>
      <c r="JH23" s="6">
        <v>0</v>
      </c>
      <c r="JI23" s="6">
        <v>8398093.564353</v>
      </c>
      <c r="JJ23" s="6">
        <v>6911030.974864</v>
      </c>
      <c r="JK23" s="6">
        <v>2384730.576386</v>
      </c>
      <c r="JL23" s="6">
        <v>11047831.663</v>
      </c>
      <c r="JM23" s="6">
        <v>6646023.502914</v>
      </c>
      <c r="JN23" s="6">
        <v>-0.0503109972923994</v>
      </c>
      <c r="JO23" s="6">
        <v>7584992.98</v>
      </c>
      <c r="JP23" s="6">
        <v>5664181.5</v>
      </c>
      <c r="JQ23" s="6">
        <v>2103723</v>
      </c>
      <c r="JR23" s="6">
        <v>9915872.78</v>
      </c>
      <c r="JS23" s="6">
        <v>5687319.17</v>
      </c>
      <c r="JT23" s="6">
        <v>-250294.47</v>
      </c>
      <c r="JU23" s="6">
        <v>-4.59538398523442</v>
      </c>
      <c r="JV23" s="6">
        <v>-0.802762984239355</v>
      </c>
      <c r="JW23" s="6">
        <v>-7.0467937412039</v>
      </c>
      <c r="JX23" s="6">
        <v>0.358004500557603</v>
      </c>
      <c r="JY23" s="6">
        <v>-1.58816478687111</v>
      </c>
      <c r="JZ23" s="6">
        <v>-1.1056014580084</v>
      </c>
      <c r="KA23" s="6">
        <v>-6.39746892694856</v>
      </c>
      <c r="KB23" s="6">
        <v>-0.712538079894317</v>
      </c>
      <c r="KC23" s="6">
        <v>-5.41828972064196</v>
      </c>
      <c r="KD23" s="6">
        <v>-0.837822146137471</v>
      </c>
      <c r="KE23" s="6">
        <v>-1.41458386571892</v>
      </c>
      <c r="KF23" s="6">
        <v>2.84341637046827e-7</v>
      </c>
    </row>
    <row r="24" s="1" customFormat="1" ht="14.55" customHeight="1" spans="1:292">
      <c r="A24" s="5" t="s">
        <v>57</v>
      </c>
      <c r="B24" s="5" t="s">
        <v>97</v>
      </c>
      <c r="C24" s="5" t="s">
        <v>97</v>
      </c>
      <c r="D24" s="5" t="s">
        <v>97</v>
      </c>
      <c r="E24" s="5" t="s">
        <v>138</v>
      </c>
      <c r="F24" s="6">
        <v>55607</v>
      </c>
      <c r="G24" s="6">
        <v>40337</v>
      </c>
      <c r="H24" s="6">
        <v>5292</v>
      </c>
      <c r="I24" s="6">
        <v>9978</v>
      </c>
      <c r="J24" s="6">
        <v>43600</v>
      </c>
      <c r="K24" s="6">
        <v>24674</v>
      </c>
      <c r="L24" s="6">
        <v>18926</v>
      </c>
      <c r="M24" s="6">
        <v>12479</v>
      </c>
      <c r="N24" s="6">
        <v>37907</v>
      </c>
      <c r="O24" s="6">
        <v>1061</v>
      </c>
      <c r="P24" s="6">
        <v>12258</v>
      </c>
      <c r="Q24" s="6">
        <v>0</v>
      </c>
      <c r="R24" s="6">
        <v>53061</v>
      </c>
      <c r="S24" s="6">
        <v>50226</v>
      </c>
      <c r="T24" s="6">
        <v>37190</v>
      </c>
      <c r="U24" s="6">
        <v>4531</v>
      </c>
      <c r="V24" s="6">
        <v>8505</v>
      </c>
      <c r="W24" s="6">
        <v>1652</v>
      </c>
      <c r="X24" s="6">
        <v>1183</v>
      </c>
      <c r="Y24" s="6">
        <v>2406</v>
      </c>
      <c r="Z24" s="6">
        <v>37278</v>
      </c>
      <c r="AA24" s="6">
        <v>35880</v>
      </c>
      <c r="AB24" s="6">
        <v>28000</v>
      </c>
      <c r="AC24" s="6">
        <v>169</v>
      </c>
      <c r="AD24" s="6">
        <v>7711</v>
      </c>
      <c r="AE24" s="6">
        <v>696</v>
      </c>
      <c r="AF24" s="6">
        <v>702</v>
      </c>
      <c r="AG24" s="6">
        <v>1435</v>
      </c>
      <c r="AH24" s="6">
        <v>41448</v>
      </c>
      <c r="AI24" s="6">
        <v>40717</v>
      </c>
      <c r="AJ24" s="6">
        <v>21956</v>
      </c>
      <c r="AK24" s="6">
        <v>18761</v>
      </c>
      <c r="AL24" s="6">
        <v>154</v>
      </c>
      <c r="AM24" s="6">
        <v>577</v>
      </c>
      <c r="AN24" s="6">
        <v>883</v>
      </c>
      <c r="AO24" s="6">
        <v>12834</v>
      </c>
      <c r="AP24" s="6">
        <v>12279</v>
      </c>
      <c r="AQ24" s="6">
        <v>12224</v>
      </c>
      <c r="AR24" s="6">
        <v>55</v>
      </c>
      <c r="AS24" s="6">
        <v>101</v>
      </c>
      <c r="AT24" s="6">
        <v>454</v>
      </c>
      <c r="AU24" s="6">
        <v>767</v>
      </c>
      <c r="AV24" s="6">
        <v>10404</v>
      </c>
      <c r="AW24" s="6">
        <v>10228</v>
      </c>
      <c r="AX24" s="6">
        <v>52</v>
      </c>
      <c r="AY24" s="6">
        <v>124</v>
      </c>
      <c r="AZ24" s="6">
        <v>3</v>
      </c>
      <c r="BA24" s="6">
        <v>4730</v>
      </c>
      <c r="BB24" s="6">
        <v>4619</v>
      </c>
      <c r="BC24" s="6">
        <v>21</v>
      </c>
      <c r="BD24" s="6">
        <v>90</v>
      </c>
      <c r="BE24" s="6">
        <v>1</v>
      </c>
      <c r="BF24" s="6">
        <v>36105</v>
      </c>
      <c r="BG24" s="6">
        <v>35657</v>
      </c>
      <c r="BH24" s="6">
        <v>164</v>
      </c>
      <c r="BI24" s="6">
        <v>284</v>
      </c>
      <c r="BJ24" s="6">
        <v>469</v>
      </c>
      <c r="BK24" s="6">
        <v>1233</v>
      </c>
      <c r="BL24" s="6">
        <v>914</v>
      </c>
      <c r="BM24" s="6">
        <v>12</v>
      </c>
      <c r="BN24" s="6">
        <v>307</v>
      </c>
      <c r="BO24" s="6">
        <v>0</v>
      </c>
      <c r="BP24" s="6">
        <v>12022</v>
      </c>
      <c r="BQ24" s="6">
        <v>10030</v>
      </c>
      <c r="BR24" s="6">
        <v>458</v>
      </c>
      <c r="BS24" s="6">
        <v>1534</v>
      </c>
      <c r="BT24" s="6">
        <v>2</v>
      </c>
      <c r="BU24" s="6">
        <v>354</v>
      </c>
      <c r="BV24" s="6">
        <v>0</v>
      </c>
      <c r="BW24" s="6">
        <v>354</v>
      </c>
      <c r="BX24" s="6">
        <v>0</v>
      </c>
      <c r="BY24" s="6">
        <v>0</v>
      </c>
      <c r="BZ24" s="6">
        <v>95.4214397467945</v>
      </c>
      <c r="CA24" s="6">
        <v>2.55335493671196</v>
      </c>
      <c r="CB24" s="6">
        <v>-0.557483770028955</v>
      </c>
      <c r="CC24" s="6">
        <v>2.97084899383171</v>
      </c>
      <c r="CD24" s="6">
        <v>2.12743</v>
      </c>
      <c r="CE24" s="6">
        <v>92.1982299129831</v>
      </c>
      <c r="CF24" s="6">
        <v>85.6198034769463</v>
      </c>
      <c r="CG24" s="6">
        <v>85.2375225496091</v>
      </c>
      <c r="CH24" s="6">
        <v>67.0383225133526</v>
      </c>
      <c r="CI24" s="6">
        <v>2.5360072955829</v>
      </c>
      <c r="CJ24" s="6">
        <v>-0.78587228226662</v>
      </c>
      <c r="CK24" s="6">
        <v>1.2516409804521</v>
      </c>
      <c r="CL24" s="6">
        <v>1.26243098890427</v>
      </c>
      <c r="CM24" s="6">
        <v>69.4151771326574</v>
      </c>
      <c r="CN24" s="6">
        <v>3.19349962207105</v>
      </c>
      <c r="CO24" s="6">
        <v>77.2800160352776</v>
      </c>
      <c r="CP24" s="6">
        <v>95.0642201834862</v>
      </c>
      <c r="CQ24" s="6">
        <v>-0.548683042320219</v>
      </c>
      <c r="CR24" s="6">
        <v>-0.596330275229362</v>
      </c>
      <c r="CS24" s="6">
        <v>0.353211009174312</v>
      </c>
      <c r="CT24" s="6">
        <v>1.32339449541284</v>
      </c>
      <c r="CU24" s="6">
        <v>88.9843560022696</v>
      </c>
      <c r="CV24" s="6">
        <v>99.1281834513368</v>
      </c>
      <c r="CW24" s="6">
        <v>29.4357798165138</v>
      </c>
      <c r="CX24" s="6">
        <v>-2.11721557519131</v>
      </c>
      <c r="CY24" s="6">
        <v>-1.08256880733945</v>
      </c>
      <c r="CZ24" s="6">
        <v>0.231651376146789</v>
      </c>
      <c r="DA24" s="6">
        <v>1.04128440366972</v>
      </c>
      <c r="DB24" s="6">
        <v>49.5420280457161</v>
      </c>
      <c r="DC24" s="6">
        <v>0.290605516221072</v>
      </c>
      <c r="DD24" s="6">
        <v>83.3720650693164</v>
      </c>
      <c r="DE24" s="6">
        <v>-8.22838896019547</v>
      </c>
      <c r="DF24" s="6">
        <v>-2.99703501883164</v>
      </c>
      <c r="DG24" s="6">
        <v>0.416700056094238</v>
      </c>
      <c r="DH24" s="6">
        <v>0.993669364532415</v>
      </c>
      <c r="DI24" s="6">
        <v>45.4632833525567</v>
      </c>
      <c r="DJ24" s="6">
        <v>2.44800041162321</v>
      </c>
      <c r="DK24" s="6">
        <v>2.15283614528263</v>
      </c>
      <c r="DL24" s="6">
        <v>0.201845444059977</v>
      </c>
      <c r="DM24" s="6">
        <v>0.865051903114187</v>
      </c>
      <c r="DN24" s="6">
        <v>95.2462605851162</v>
      </c>
      <c r="DO24" s="6">
        <v>-1.96854971195376</v>
      </c>
      <c r="DP24" s="6">
        <v>-1.28736117339805</v>
      </c>
      <c r="DQ24" s="6">
        <v>0.43263777138787</v>
      </c>
      <c r="DR24" s="6">
        <v>0.749201994354605</v>
      </c>
      <c r="DS24" s="6">
        <v>116.211121583412</v>
      </c>
      <c r="DT24" s="6">
        <v>0.934848560659973</v>
      </c>
      <c r="DU24" s="6">
        <v>1.03675777568331</v>
      </c>
      <c r="DV24" s="6">
        <v>1.13100848256362</v>
      </c>
      <c r="DW24" s="6">
        <v>28.9349670122526</v>
      </c>
      <c r="DX24" s="6">
        <v>98.0747267090879</v>
      </c>
      <c r="DY24" s="6">
        <v>2.1057995623317</v>
      </c>
      <c r="DZ24" s="6">
        <v>-9.96899983684125</v>
      </c>
      <c r="EA24" s="6">
        <v>3.73633545439713</v>
      </c>
      <c r="EB24" s="6">
        <v>12.5142763909284</v>
      </c>
      <c r="EC24" s="6" t="e">
        <v>#DIV/0!</v>
      </c>
      <c r="ED24" s="6" t="e">
        <v>#DIV/0!</v>
      </c>
      <c r="EE24" s="6" t="e">
        <v>#NUM!</v>
      </c>
      <c r="EF24" s="6" t="e">
        <v>#DIV/0!</v>
      </c>
      <c r="EG24" s="6">
        <v>0</v>
      </c>
      <c r="EH24" s="6">
        <v>31395645.791151</v>
      </c>
      <c r="EI24" s="6">
        <v>21739227.574692</v>
      </c>
      <c r="EJ24" s="6">
        <v>4301130.034517</v>
      </c>
      <c r="EK24" s="6">
        <v>2927173.859576</v>
      </c>
      <c r="EL24" s="6">
        <v>2428114.322366</v>
      </c>
      <c r="EM24" s="6">
        <v>9645313.89426</v>
      </c>
      <c r="EN24" s="6">
        <v>8878150.482775</v>
      </c>
      <c r="EO24" s="6">
        <v>311018.5167</v>
      </c>
      <c r="EP24" s="6">
        <v>456144.894785</v>
      </c>
      <c r="EQ24" s="6">
        <v>1088220.60147</v>
      </c>
      <c r="ER24" s="6">
        <v>7551150.447133</v>
      </c>
      <c r="ES24" s="6">
        <v>7550133.225716</v>
      </c>
      <c r="ET24" s="6">
        <v>19205893.546982</v>
      </c>
      <c r="EU24" s="6">
        <v>13183363.476612</v>
      </c>
      <c r="EV24" s="6">
        <v>49680330.734014</v>
      </c>
      <c r="EW24" s="6">
        <v>26756026.772698</v>
      </c>
      <c r="EX24" s="6">
        <v>13183363.476612</v>
      </c>
      <c r="EY24" s="6">
        <v>67299530.803324</v>
      </c>
      <c r="EZ24" s="6">
        <v>22320190.18</v>
      </c>
      <c r="FA24" s="6">
        <v>0</v>
      </c>
      <c r="FB24" s="6">
        <v>21559456.51</v>
      </c>
      <c r="FC24" s="6">
        <v>19521657.61</v>
      </c>
      <c r="FD24" s="6">
        <v>14474586.15</v>
      </c>
      <c r="FE24" s="6">
        <v>2750981.86</v>
      </c>
      <c r="FF24" s="6">
        <v>2296089.6</v>
      </c>
      <c r="FG24" s="6">
        <v>1809680.97</v>
      </c>
      <c r="FH24" s="6">
        <v>228117.93</v>
      </c>
      <c r="FI24" s="6">
        <v>4461898.7</v>
      </c>
      <c r="FJ24" s="6">
        <v>6418217.27</v>
      </c>
      <c r="FK24" s="6">
        <v>5989247.03</v>
      </c>
      <c r="FL24" s="6">
        <v>5807746.99</v>
      </c>
      <c r="FM24" s="6">
        <v>181500.04</v>
      </c>
      <c r="FN24" s="6">
        <v>237143.3</v>
      </c>
      <c r="FO24" s="6">
        <v>191826.94</v>
      </c>
      <c r="FP24" s="6">
        <v>1405374.29</v>
      </c>
      <c r="FQ24" s="6">
        <v>716797.43</v>
      </c>
      <c r="FR24" s="6">
        <v>686035.54</v>
      </c>
      <c r="FS24" s="6">
        <v>13876.92</v>
      </c>
      <c r="FT24" s="6">
        <v>16884.97</v>
      </c>
      <c r="FU24" s="6">
        <v>8548.64</v>
      </c>
      <c r="FV24" s="6">
        <v>4744655.8</v>
      </c>
      <c r="FW24" s="6">
        <v>4664429.04</v>
      </c>
      <c r="FX24" s="6">
        <v>29255.39</v>
      </c>
      <c r="FY24" s="6">
        <v>50971.37</v>
      </c>
      <c r="FZ24" s="6">
        <v>947031.69</v>
      </c>
      <c r="GA24" s="6">
        <v>6038942.61</v>
      </c>
      <c r="GB24" s="6">
        <v>5177294.34</v>
      </c>
      <c r="GC24" s="6">
        <v>527138.96</v>
      </c>
      <c r="GD24" s="6">
        <v>334509.31</v>
      </c>
      <c r="GE24" s="6">
        <v>104609.39</v>
      </c>
      <c r="GF24" s="6">
        <v>12213809.47</v>
      </c>
      <c r="GG24" s="6">
        <v>9812422.77</v>
      </c>
      <c r="GH24" s="6">
        <v>281387.62</v>
      </c>
      <c r="GI24" s="6">
        <v>2119999.08</v>
      </c>
      <c r="GJ24" s="6">
        <v>1086781.14</v>
      </c>
      <c r="GK24" s="6">
        <v>7690433.07</v>
      </c>
      <c r="GL24" s="6">
        <v>0</v>
      </c>
      <c r="GM24" s="6">
        <v>5221555.05</v>
      </c>
      <c r="GN24" s="6">
        <v>2468878.02</v>
      </c>
      <c r="GO24" s="6">
        <v>5123911.49</v>
      </c>
      <c r="GP24" s="6">
        <v>33439127.01</v>
      </c>
      <c r="GQ24" s="6">
        <v>18252752.08</v>
      </c>
      <c r="GR24" s="6">
        <v>7690433.07</v>
      </c>
      <c r="GS24" s="6">
        <v>43827386.47</v>
      </c>
      <c r="GT24" s="6">
        <v>15554925.69</v>
      </c>
      <c r="GU24" s="6">
        <v>0</v>
      </c>
      <c r="GV24" s="6">
        <v>103.00531793525</v>
      </c>
      <c r="GW24" s="6">
        <v>3.87815492604359</v>
      </c>
      <c r="GX24" s="6">
        <v>-0.708583738631008</v>
      </c>
      <c r="GY24" s="6">
        <v>8.64617174323294</v>
      </c>
      <c r="GZ24" s="6">
        <v>1.08988646793959</v>
      </c>
      <c r="HA24" s="6">
        <v>99.8741981535543</v>
      </c>
      <c r="HB24" s="6">
        <v>95.9392707703474</v>
      </c>
      <c r="HC24" s="6">
        <v>117.660739171088</v>
      </c>
      <c r="HD24" s="6">
        <v>21.3177588208312</v>
      </c>
      <c r="HE24" s="6">
        <v>99.8135054031709</v>
      </c>
      <c r="HF24" s="6">
        <v>0.57025054871082</v>
      </c>
      <c r="HG24" s="6">
        <v>-0.455914933517543</v>
      </c>
      <c r="HH24" s="6">
        <v>3.68795618161985</v>
      </c>
      <c r="HI24" s="6">
        <v>2.98321457605684</v>
      </c>
      <c r="HJ24" s="6">
        <v>98.1242715124271</v>
      </c>
      <c r="HK24" s="6">
        <v>87.5350004522737</v>
      </c>
      <c r="HL24" s="6">
        <v>21.8558095476242</v>
      </c>
      <c r="HM24" s="6">
        <v>98.8031418949057</v>
      </c>
      <c r="HN24" s="6">
        <v>-4.68913321902852</v>
      </c>
      <c r="HO24" s="6">
        <v>-0.700327868500406</v>
      </c>
      <c r="HP24" s="6">
        <v>1.91279047390593</v>
      </c>
      <c r="HQ24" s="6">
        <v>2.32741918006211</v>
      </c>
      <c r="HR24" s="6">
        <v>1.17834196326355</v>
      </c>
      <c r="HS24" s="6">
        <v>94.2503231769426</v>
      </c>
      <c r="HT24" s="6">
        <v>-1.45013567386784</v>
      </c>
      <c r="HU24" s="6">
        <v>-1.54998705303445</v>
      </c>
      <c r="HV24" s="6">
        <v>0.581144360812748</v>
      </c>
      <c r="HW24" s="6">
        <v>1.0125219400049</v>
      </c>
      <c r="HX24" s="6">
        <v>18.8123325703218</v>
      </c>
      <c r="HY24" s="6">
        <v>119.976875164888</v>
      </c>
      <c r="HZ24" s="6">
        <v>20.3933457206078</v>
      </c>
      <c r="IA24" s="6">
        <v>-0.338239092998723</v>
      </c>
      <c r="IB24" s="6">
        <v>10.4727746698141</v>
      </c>
      <c r="IC24" s="6">
        <v>6.64576306138514</v>
      </c>
      <c r="ID24" s="6">
        <v>2.07829557848788</v>
      </c>
      <c r="IE24" s="6">
        <v>95.3911056529776</v>
      </c>
      <c r="IF24" s="6">
        <v>13.9857065999399</v>
      </c>
      <c r="IG24" s="6">
        <v>-1.05139149943161</v>
      </c>
      <c r="IH24" s="6">
        <v>2.19766619536598</v>
      </c>
      <c r="II24" s="6">
        <v>16.5574104231131</v>
      </c>
      <c r="IJ24" s="6">
        <v>8.4878722565666</v>
      </c>
      <c r="IK24" s="6">
        <v>87.5015668457057</v>
      </c>
      <c r="IL24" s="6">
        <v>-136.590550064018</v>
      </c>
      <c r="IM24" s="6">
        <v>6.25534161753072</v>
      </c>
      <c r="IN24" s="6">
        <v>59.4107307205402</v>
      </c>
      <c r="IO24" s="6">
        <v>28.0908361251655</v>
      </c>
      <c r="IP24" s="6">
        <v>58.2997445882088</v>
      </c>
      <c r="IQ24" s="6">
        <v>100.962875596677</v>
      </c>
      <c r="IR24" s="6">
        <v>2.25497494273751</v>
      </c>
      <c r="IS24" s="6">
        <v>-0.787236775184463</v>
      </c>
      <c r="IT24" s="6">
        <v>102.328826146705</v>
      </c>
      <c r="IU24" s="6">
        <v>15.7941172485648</v>
      </c>
      <c r="IV24" s="6">
        <v>-0.850151019125969</v>
      </c>
      <c r="IW24" s="6">
        <v>87.5015668457057</v>
      </c>
      <c r="IX24" s="6">
        <v>-136.590550064018</v>
      </c>
      <c r="IY24" s="6">
        <v>6.25534161753072</v>
      </c>
      <c r="IZ24" s="6">
        <v>97.6843061463854</v>
      </c>
      <c r="JA24" s="6">
        <v>-13.6127131272164</v>
      </c>
      <c r="JB24" s="6">
        <v>-0.109342537936932</v>
      </c>
      <c r="JC24" s="6">
        <v>104.534900226374</v>
      </c>
      <c r="JD24" s="6">
        <v>29.3202701751175</v>
      </c>
      <c r="JE24" s="6">
        <v>1.25304922149061</v>
      </c>
      <c r="JF24" s="6">
        <v>0</v>
      </c>
      <c r="JG24" s="6">
        <v>0</v>
      </c>
      <c r="JH24" s="6">
        <v>0</v>
      </c>
      <c r="JI24" s="6">
        <v>4199661.445162</v>
      </c>
      <c r="JJ24" s="6">
        <v>2232915.744634</v>
      </c>
      <c r="JK24" s="6">
        <v>1100230.445249</v>
      </c>
      <c r="JL24" s="6">
        <v>5668937.171533</v>
      </c>
      <c r="JM24" s="6">
        <v>1863870.450128</v>
      </c>
      <c r="JN24" s="6">
        <v>0.0133839994668961</v>
      </c>
      <c r="JO24" s="6">
        <v>3951748.14</v>
      </c>
      <c r="JP24" s="6">
        <v>2148905.14</v>
      </c>
      <c r="JQ24" s="6">
        <v>1442358.38</v>
      </c>
      <c r="JR24" s="6">
        <v>5435497.55</v>
      </c>
      <c r="JS24" s="6">
        <v>2282969.14</v>
      </c>
      <c r="JT24" s="6">
        <v>-175455.03</v>
      </c>
      <c r="JU24" s="6">
        <v>-3.29111424548568</v>
      </c>
      <c r="JV24" s="6">
        <v>-0.262459495447887</v>
      </c>
      <c r="JW24" s="6">
        <v>-1.11526284360636</v>
      </c>
      <c r="JX24" s="6">
        <v>0.646216759067801</v>
      </c>
      <c r="JY24" s="6">
        <v>4.54183820066389</v>
      </c>
      <c r="JZ24" s="6">
        <v>-1.84428327696397</v>
      </c>
      <c r="KA24" s="6">
        <v>-3.09897229350403</v>
      </c>
      <c r="KB24" s="6">
        <v>-2.52912157077622</v>
      </c>
      <c r="KC24" s="6">
        <v>5.56364519282586</v>
      </c>
      <c r="KD24" s="6">
        <v>1.06859573510826</v>
      </c>
      <c r="KE24" s="6">
        <v>-2.32921178774999</v>
      </c>
      <c r="KF24" s="6">
        <v>-1.77676108502087e-7</v>
      </c>
    </row>
    <row r="25" s="1" customFormat="1" ht="14.55" customHeight="1" spans="1:292">
      <c r="A25" s="5" t="s">
        <v>67</v>
      </c>
      <c r="B25" s="5" t="s">
        <v>97</v>
      </c>
      <c r="C25" s="5" t="s">
        <v>97</v>
      </c>
      <c r="D25" s="5" t="s">
        <v>97</v>
      </c>
      <c r="E25" s="5" t="s">
        <v>138</v>
      </c>
      <c r="F25" s="6">
        <v>86300</v>
      </c>
      <c r="G25" s="6">
        <v>73855</v>
      </c>
      <c r="H25" s="6">
        <v>7949</v>
      </c>
      <c r="I25" s="6">
        <v>4496</v>
      </c>
      <c r="J25" s="6">
        <v>47071</v>
      </c>
      <c r="K25" s="6">
        <v>44086</v>
      </c>
      <c r="L25" s="6">
        <v>2985</v>
      </c>
      <c r="M25" s="6">
        <v>23190</v>
      </c>
      <c r="N25" s="6">
        <v>50398</v>
      </c>
      <c r="O25" s="6">
        <v>2216</v>
      </c>
      <c r="P25" s="6">
        <v>24195</v>
      </c>
      <c r="Q25" s="6">
        <v>0</v>
      </c>
      <c r="R25" s="6">
        <v>82303</v>
      </c>
      <c r="S25" s="6">
        <v>76837</v>
      </c>
      <c r="T25" s="6">
        <v>66675</v>
      </c>
      <c r="U25" s="6">
        <v>6278</v>
      </c>
      <c r="V25" s="6">
        <v>3884</v>
      </c>
      <c r="W25" s="6">
        <v>2728</v>
      </c>
      <c r="X25" s="6">
        <v>2738</v>
      </c>
      <c r="Y25" s="6">
        <v>2651</v>
      </c>
      <c r="Z25" s="6">
        <v>59430</v>
      </c>
      <c r="AA25" s="6">
        <v>56030</v>
      </c>
      <c r="AB25" s="6">
        <v>52588</v>
      </c>
      <c r="AC25" s="6">
        <v>265</v>
      </c>
      <c r="AD25" s="6">
        <v>3177</v>
      </c>
      <c r="AE25" s="6">
        <v>1713</v>
      </c>
      <c r="AF25" s="6">
        <v>1687</v>
      </c>
      <c r="AG25" s="6">
        <v>1731</v>
      </c>
      <c r="AH25" s="6">
        <v>38860</v>
      </c>
      <c r="AI25" s="6">
        <v>35947</v>
      </c>
      <c r="AJ25" s="6">
        <v>33084</v>
      </c>
      <c r="AK25" s="6">
        <v>2863</v>
      </c>
      <c r="AL25" s="6">
        <v>1475</v>
      </c>
      <c r="AM25" s="6">
        <v>1438</v>
      </c>
      <c r="AN25" s="6">
        <v>336</v>
      </c>
      <c r="AO25" s="6">
        <v>22154</v>
      </c>
      <c r="AP25" s="6">
        <v>20242</v>
      </c>
      <c r="AQ25" s="6">
        <v>20213</v>
      </c>
      <c r="AR25" s="6">
        <v>29</v>
      </c>
      <c r="AS25" s="6">
        <v>839</v>
      </c>
      <c r="AT25" s="6">
        <v>1073</v>
      </c>
      <c r="AU25" s="6">
        <v>240</v>
      </c>
      <c r="AV25" s="6">
        <v>21059</v>
      </c>
      <c r="AW25" s="6">
        <v>20087</v>
      </c>
      <c r="AX25" s="6">
        <v>290</v>
      </c>
      <c r="AY25" s="6">
        <v>682</v>
      </c>
      <c r="AZ25" s="6">
        <v>18</v>
      </c>
      <c r="BA25" s="6">
        <v>10923</v>
      </c>
      <c r="BB25" s="6">
        <v>10315</v>
      </c>
      <c r="BC25" s="6">
        <v>164</v>
      </c>
      <c r="BD25" s="6">
        <v>444</v>
      </c>
      <c r="BE25" s="6">
        <v>1</v>
      </c>
      <c r="BF25" s="6">
        <v>48433</v>
      </c>
      <c r="BG25" s="6">
        <v>48055</v>
      </c>
      <c r="BH25" s="6">
        <v>174</v>
      </c>
      <c r="BI25" s="6">
        <v>204</v>
      </c>
      <c r="BJ25" s="6">
        <v>713</v>
      </c>
      <c r="BK25" s="6">
        <v>2152</v>
      </c>
      <c r="BL25" s="6">
        <v>1929</v>
      </c>
      <c r="BM25" s="6">
        <v>26</v>
      </c>
      <c r="BN25" s="6">
        <v>197</v>
      </c>
      <c r="BO25" s="6">
        <v>1</v>
      </c>
      <c r="BP25" s="6">
        <v>23361</v>
      </c>
      <c r="BQ25" s="6">
        <v>22172</v>
      </c>
      <c r="BR25" s="6">
        <v>564</v>
      </c>
      <c r="BS25" s="6">
        <v>625</v>
      </c>
      <c r="BT25" s="6">
        <v>6</v>
      </c>
      <c r="BU25" s="6">
        <v>216</v>
      </c>
      <c r="BV25" s="6">
        <v>0</v>
      </c>
      <c r="BW25" s="6">
        <v>216</v>
      </c>
      <c r="BX25" s="6">
        <v>0</v>
      </c>
      <c r="BY25" s="6">
        <v>0</v>
      </c>
      <c r="BZ25" s="6">
        <v>95.3684820393974</v>
      </c>
      <c r="CA25" s="6">
        <v>-0.200168652197186</v>
      </c>
      <c r="CB25" s="6">
        <v>-0.184241019698728</v>
      </c>
      <c r="CC25" s="6">
        <v>3.16106604866744</v>
      </c>
      <c r="CD25" s="6">
        <v>3.17265353418308</v>
      </c>
      <c r="CE25" s="6">
        <v>90.2782479182181</v>
      </c>
      <c r="CF25" s="6">
        <v>78.9784878601082</v>
      </c>
      <c r="CG25" s="6">
        <v>86.3879003558719</v>
      </c>
      <c r="CH25" s="6">
        <v>68.864426419467</v>
      </c>
      <c r="CI25" s="6">
        <v>0.164534882975154</v>
      </c>
      <c r="CJ25" s="6">
        <v>-0.326767091541136</v>
      </c>
      <c r="CK25" s="6">
        <v>1.98493626882966</v>
      </c>
      <c r="CL25" s="6">
        <v>1.95480880648899</v>
      </c>
      <c r="CM25" s="6">
        <v>71.204386974477</v>
      </c>
      <c r="CN25" s="6">
        <v>3.33375267329224</v>
      </c>
      <c r="CO25" s="6">
        <v>70.6628113879004</v>
      </c>
      <c r="CP25" s="6">
        <v>82.5561385991375</v>
      </c>
      <c r="CQ25" s="6">
        <v>-14.4884543254797</v>
      </c>
      <c r="CR25" s="6">
        <v>-0.169956023878826</v>
      </c>
      <c r="CS25" s="6">
        <v>3.13356419026577</v>
      </c>
      <c r="CT25" s="6">
        <v>3.05495952922181</v>
      </c>
      <c r="CU25" s="6">
        <v>75.0442317288935</v>
      </c>
      <c r="CV25" s="6">
        <v>95.9128978224456</v>
      </c>
      <c r="CW25" s="6">
        <v>47.0650719126426</v>
      </c>
      <c r="CX25" s="6">
        <v>-5.38659639475325</v>
      </c>
      <c r="CY25" s="6">
        <v>-3.88349514563107</v>
      </c>
      <c r="CZ25" s="6">
        <v>1.78241380042914</v>
      </c>
      <c r="DA25" s="6">
        <v>2.27953517027469</v>
      </c>
      <c r="DB25" s="6">
        <v>45.8490223653768</v>
      </c>
      <c r="DC25" s="6">
        <v>0.971524288107203</v>
      </c>
      <c r="DD25" s="6">
        <v>90.8106942647693</v>
      </c>
      <c r="DE25" s="6">
        <v>-8.23464176012767</v>
      </c>
      <c r="DF25" s="6">
        <v>-2.10866752910738</v>
      </c>
      <c r="DG25" s="6">
        <v>1.250539025442</v>
      </c>
      <c r="DH25" s="6">
        <v>2.94092281155671</v>
      </c>
      <c r="DI25" s="6">
        <v>51.8685597606724</v>
      </c>
      <c r="DJ25" s="6">
        <v>0.940785993104143</v>
      </c>
      <c r="DK25" s="6">
        <v>-0.493608421989566</v>
      </c>
      <c r="DL25" s="6">
        <v>0.778764423761812</v>
      </c>
      <c r="DM25" s="6">
        <v>2.10836222042832</v>
      </c>
      <c r="DN25" s="6">
        <v>96.1010357553871</v>
      </c>
      <c r="DO25" s="6">
        <v>-0.0391235336490436</v>
      </c>
      <c r="DP25" s="6">
        <v>-0.281757212587797</v>
      </c>
      <c r="DQ25" s="6">
        <v>0.345251795706179</v>
      </c>
      <c r="DR25" s="6">
        <v>0.404777967379658</v>
      </c>
      <c r="DS25" s="6">
        <v>97.1119133574007</v>
      </c>
      <c r="DT25" s="6">
        <v>-5.50613245840106</v>
      </c>
      <c r="DU25" s="6">
        <v>-0.992779783393494</v>
      </c>
      <c r="DV25" s="6">
        <v>1.17328519855596</v>
      </c>
      <c r="DW25" s="6">
        <v>8.8898916967509</v>
      </c>
      <c r="DX25" s="6">
        <v>96.5530068195908</v>
      </c>
      <c r="DY25" s="6">
        <v>-20.0193994348648</v>
      </c>
      <c r="DZ25" s="6">
        <v>-0.351312254598057</v>
      </c>
      <c r="EA25" s="6">
        <v>2.33106013639182</v>
      </c>
      <c r="EB25" s="6">
        <v>2.58317834263278</v>
      </c>
      <c r="EC25" s="6" t="e">
        <v>#DIV/0!</v>
      </c>
      <c r="ED25" s="6" t="e">
        <v>#DIV/0!</v>
      </c>
      <c r="EE25" s="6" t="e">
        <v>#NUM!</v>
      </c>
      <c r="EF25" s="6" t="e">
        <v>#DIV/0!</v>
      </c>
      <c r="EG25" s="6">
        <v>0</v>
      </c>
      <c r="EH25" s="6">
        <v>40118506.159817</v>
      </c>
      <c r="EI25" s="6">
        <v>30166008.010926</v>
      </c>
      <c r="EJ25" s="6">
        <v>4837050.259582</v>
      </c>
      <c r="EK25" s="6">
        <v>1647775.44564</v>
      </c>
      <c r="EL25" s="6">
        <v>3467672.443669</v>
      </c>
      <c r="EM25" s="6">
        <v>12856623.391603</v>
      </c>
      <c r="EN25" s="6">
        <v>11805943.844711</v>
      </c>
      <c r="EO25" s="6">
        <v>93586.66796</v>
      </c>
      <c r="EP25" s="6">
        <v>957092.878932</v>
      </c>
      <c r="EQ25" s="6">
        <v>1638752.25824</v>
      </c>
      <c r="ER25" s="6">
        <v>11767620.172499</v>
      </c>
      <c r="ES25" s="6">
        <v>15210660.040921</v>
      </c>
      <c r="ET25" s="6">
        <v>48272032.300324</v>
      </c>
      <c r="EU25" s="6">
        <v>17186979.285976</v>
      </c>
      <c r="EV25" s="6">
        <v>66381501.982159</v>
      </c>
      <c r="EW25" s="6">
        <v>63482692.341245</v>
      </c>
      <c r="EX25" s="6">
        <v>17186979.285976</v>
      </c>
      <c r="EY25" s="6">
        <v>88345622.79938</v>
      </c>
      <c r="EZ25" s="6">
        <v>58705679.24</v>
      </c>
      <c r="FA25" s="6">
        <v>-128.43</v>
      </c>
      <c r="FB25" s="6">
        <v>26623349.93</v>
      </c>
      <c r="FC25" s="6">
        <v>23926401.44</v>
      </c>
      <c r="FD25" s="6">
        <v>19854649.85</v>
      </c>
      <c r="FE25" s="6">
        <v>2940979.15</v>
      </c>
      <c r="FF25" s="6">
        <v>1130772.44</v>
      </c>
      <c r="FG25" s="6">
        <v>1789753.6</v>
      </c>
      <c r="FH25" s="6">
        <v>907194.89</v>
      </c>
      <c r="FI25" s="6">
        <v>4706275.84</v>
      </c>
      <c r="FJ25" s="6">
        <v>8217563.03</v>
      </c>
      <c r="FK25" s="6">
        <v>7488372.49</v>
      </c>
      <c r="FL25" s="6">
        <v>7430698.79</v>
      </c>
      <c r="FM25" s="6">
        <v>57673.7</v>
      </c>
      <c r="FN25" s="6">
        <v>398094.62</v>
      </c>
      <c r="FO25" s="6">
        <v>331095.92</v>
      </c>
      <c r="FP25" s="6">
        <v>533003.87</v>
      </c>
      <c r="FQ25" s="6">
        <v>1175078.71</v>
      </c>
      <c r="FR25" s="6">
        <v>1117084.93</v>
      </c>
      <c r="FS25" s="6">
        <v>25466.59</v>
      </c>
      <c r="FT25" s="6">
        <v>32527.19</v>
      </c>
      <c r="FU25" s="6">
        <v>104211.73</v>
      </c>
      <c r="FV25" s="6">
        <v>7206872.79</v>
      </c>
      <c r="FW25" s="6">
        <v>7144108.32</v>
      </c>
      <c r="FX25" s="6">
        <v>38850.46</v>
      </c>
      <c r="FY25" s="6">
        <v>23914.01</v>
      </c>
      <c r="FZ25" s="6">
        <v>2950459.73</v>
      </c>
      <c r="GA25" s="6">
        <v>10484964.39</v>
      </c>
      <c r="GB25" s="6">
        <v>9132214.66</v>
      </c>
      <c r="GC25" s="6">
        <v>876728.63</v>
      </c>
      <c r="GD25" s="6">
        <v>476021.1</v>
      </c>
      <c r="GE25" s="6">
        <v>161984.52</v>
      </c>
      <c r="GF25" s="6">
        <v>29376165.91</v>
      </c>
      <c r="GG25" s="6">
        <v>27838896.07</v>
      </c>
      <c r="GH25" s="6">
        <v>831737.88</v>
      </c>
      <c r="GI25" s="6">
        <v>705531.96</v>
      </c>
      <c r="GJ25" s="6">
        <v>1904335.69</v>
      </c>
      <c r="GK25" s="6">
        <v>13478159.82</v>
      </c>
      <c r="GL25" s="6">
        <v>0</v>
      </c>
      <c r="GM25" s="6">
        <v>11460872.71</v>
      </c>
      <c r="GN25" s="6">
        <v>2017287.11</v>
      </c>
      <c r="GO25" s="6">
        <v>6576722.4</v>
      </c>
      <c r="GP25" s="6">
        <v>43222864.46</v>
      </c>
      <c r="GQ25" s="6">
        <v>39861130.3</v>
      </c>
      <c r="GR25" s="6">
        <v>13478159.82</v>
      </c>
      <c r="GS25" s="6">
        <v>57016207.39</v>
      </c>
      <c r="GT25" s="6">
        <v>39546284.81</v>
      </c>
      <c r="GU25" s="6">
        <v>-337.62</v>
      </c>
      <c r="GV25" s="6">
        <v>99.5426518024224</v>
      </c>
      <c r="GW25" s="6">
        <v>-1.01694765034961</v>
      </c>
      <c r="GX25" s="6">
        <v>-0.0665417224002562</v>
      </c>
      <c r="GY25" s="6">
        <v>6.69175065817617</v>
      </c>
      <c r="GZ25" s="6">
        <v>3.3919317174451</v>
      </c>
      <c r="HA25" s="6">
        <v>98.7269338528754</v>
      </c>
      <c r="HB25" s="6">
        <v>91.2016309167154</v>
      </c>
      <c r="HC25" s="6">
        <v>102.936274750787</v>
      </c>
      <c r="HD25" s="6">
        <v>17.5964023482778</v>
      </c>
      <c r="HE25" s="6">
        <v>95.8754423268762</v>
      </c>
      <c r="HF25" s="6">
        <v>-7.58337961150068</v>
      </c>
      <c r="HG25" s="6">
        <v>-0.992286474560056</v>
      </c>
      <c r="HH25" s="6">
        <v>4.64462488953366</v>
      </c>
      <c r="HI25" s="6">
        <v>3.86294180728955</v>
      </c>
      <c r="HJ25" s="6">
        <v>94.4104794297609</v>
      </c>
      <c r="HK25" s="6">
        <v>92.438967948913</v>
      </c>
      <c r="HL25" s="6">
        <v>6.21862973385515</v>
      </c>
      <c r="HM25" s="6">
        <v>107.558543772384</v>
      </c>
      <c r="HN25" s="6">
        <v>-1.74423509706841</v>
      </c>
      <c r="HO25" s="6">
        <v>-0.865894197425887</v>
      </c>
      <c r="HP25" s="6">
        <v>2.33103477404365</v>
      </c>
      <c r="HQ25" s="6">
        <v>2.97731305965678</v>
      </c>
      <c r="HR25" s="6">
        <v>9.53881797654291</v>
      </c>
      <c r="HS25" s="6">
        <v>91.8648717967951</v>
      </c>
      <c r="HT25" s="6">
        <v>-1.99836762197801</v>
      </c>
      <c r="HU25" s="6">
        <v>-1.7288746141943</v>
      </c>
      <c r="HV25" s="6">
        <v>0.495220691573566</v>
      </c>
      <c r="HW25" s="6">
        <v>0.304828117105876</v>
      </c>
      <c r="HX25" s="6">
        <v>37.6090452455532</v>
      </c>
      <c r="HY25" s="6">
        <v>103.397528724518</v>
      </c>
      <c r="HZ25" s="6">
        <v>2.04239753065589</v>
      </c>
      <c r="IA25" s="6">
        <v>-1.81048247912407</v>
      </c>
      <c r="IB25" s="6">
        <v>8.64586376568818</v>
      </c>
      <c r="IC25" s="6">
        <v>4.69428445628955</v>
      </c>
      <c r="ID25" s="6">
        <v>1.59741115340375</v>
      </c>
      <c r="IE25" s="6">
        <v>91.2831856567685</v>
      </c>
      <c r="IF25" s="6">
        <v>-7.11180541862365</v>
      </c>
      <c r="IG25" s="6">
        <v>-0.582112892664643</v>
      </c>
      <c r="IH25" s="6">
        <v>2.58453344627801</v>
      </c>
      <c r="II25" s="6">
        <v>2.19236251213914</v>
      </c>
      <c r="IJ25" s="6">
        <v>5.91751247850575</v>
      </c>
      <c r="IK25" s="6">
        <v>117.631140374368</v>
      </c>
      <c r="IL25" s="6">
        <v>-27.3253571500234</v>
      </c>
      <c r="IM25" s="6">
        <v>-0.108622802534342</v>
      </c>
      <c r="IN25" s="6">
        <v>100.025192204819</v>
      </c>
      <c r="IO25" s="6">
        <v>17.6059481695487</v>
      </c>
      <c r="IP25" s="6">
        <v>57.3985889891051</v>
      </c>
      <c r="IQ25" s="6">
        <v>97.6692222291462</v>
      </c>
      <c r="IR25" s="6">
        <v>-2.37924373050826</v>
      </c>
      <c r="IS25" s="6">
        <v>-0.560257492624061</v>
      </c>
      <c r="IT25" s="6">
        <v>94.185821749014</v>
      </c>
      <c r="IU25" s="6">
        <v>-4.9546245924857</v>
      </c>
      <c r="IV25" s="6">
        <v>-0.876434250111256</v>
      </c>
      <c r="IW25" s="6">
        <v>117.631140374368</v>
      </c>
      <c r="IX25" s="6">
        <v>-27.3253571500234</v>
      </c>
      <c r="IY25" s="6">
        <v>-0.108622802534342</v>
      </c>
      <c r="IZ25" s="6">
        <v>96.8065065082095</v>
      </c>
      <c r="JA25" s="6">
        <v>-2.54982196867098</v>
      </c>
      <c r="JB25" s="6">
        <v>-1.17901450073737</v>
      </c>
      <c r="JC25" s="6">
        <v>101.04546609961</v>
      </c>
      <c r="JD25" s="6">
        <v>-10.4207873078494</v>
      </c>
      <c r="JE25" s="6">
        <v>0.161100223928345</v>
      </c>
      <c r="JF25" s="6">
        <v>394.323756131745</v>
      </c>
      <c r="JG25" s="6">
        <v>283.566140803746</v>
      </c>
      <c r="JH25" s="6">
        <v>-56.3319651616779</v>
      </c>
      <c r="JI25" s="6">
        <v>5580565.957832</v>
      </c>
      <c r="JJ25" s="6">
        <v>5291034.009762</v>
      </c>
      <c r="JK25" s="6">
        <v>1433378.479244</v>
      </c>
      <c r="JL25" s="6">
        <v>7409876.480146</v>
      </c>
      <c r="JM25" s="6">
        <v>4895112.662957</v>
      </c>
      <c r="JN25" s="6">
        <v>-10.6962649989873</v>
      </c>
      <c r="JO25" s="6">
        <v>5185912.11</v>
      </c>
      <c r="JP25" s="6">
        <v>4658083.92</v>
      </c>
      <c r="JQ25" s="6">
        <v>1673879.74</v>
      </c>
      <c r="JR25" s="6">
        <v>6519421.43</v>
      </c>
      <c r="JS25" s="6">
        <v>5135448.95</v>
      </c>
      <c r="JT25" s="6">
        <v>-136994.61</v>
      </c>
      <c r="JU25" s="6">
        <v>-3.20726972043914</v>
      </c>
      <c r="JV25" s="6">
        <v>-1.44419513695014</v>
      </c>
      <c r="JW25" s="6">
        <v>-5.14385370520214</v>
      </c>
      <c r="JX25" s="6">
        <v>-2.50624349806357</v>
      </c>
      <c r="JY25" s="6">
        <v>1.95450371404593</v>
      </c>
      <c r="JZ25" s="6">
        <v>2.04300640868331</v>
      </c>
      <c r="KA25" s="6">
        <v>-7.23654294879989</v>
      </c>
      <c r="KB25" s="6">
        <v>-2.29866762967541</v>
      </c>
      <c r="KC25" s="6">
        <v>1.9531630070003</v>
      </c>
      <c r="KD25" s="6">
        <v>0.391491447962501</v>
      </c>
      <c r="KE25" s="6">
        <v>-1.11323976979579</v>
      </c>
      <c r="KF25" s="6">
        <v>-0.000256044617527216</v>
      </c>
    </row>
    <row r="26" s="1" customFormat="1" ht="14.55" customHeight="1" spans="1:292">
      <c r="A26" s="5" t="s">
        <v>58</v>
      </c>
      <c r="B26" s="5" t="s">
        <v>97</v>
      </c>
      <c r="C26" s="5" t="s">
        <v>97</v>
      </c>
      <c r="D26" s="5" t="s">
        <v>97</v>
      </c>
      <c r="E26" s="5" t="s">
        <v>138</v>
      </c>
      <c r="F26" s="6">
        <v>67199</v>
      </c>
      <c r="G26" s="6">
        <v>50977</v>
      </c>
      <c r="H26" s="6">
        <v>3438</v>
      </c>
      <c r="I26" s="6">
        <v>12784</v>
      </c>
      <c r="J26" s="6">
        <v>30358</v>
      </c>
      <c r="K26" s="6">
        <v>29247</v>
      </c>
      <c r="L26" s="6">
        <v>1111</v>
      </c>
      <c r="M26" s="6">
        <v>18899</v>
      </c>
      <c r="N26" s="6">
        <v>29995</v>
      </c>
      <c r="O26" s="6">
        <v>712</v>
      </c>
      <c r="P26" s="6">
        <v>12021</v>
      </c>
      <c r="Q26" s="6">
        <v>0</v>
      </c>
      <c r="R26" s="6">
        <v>62287</v>
      </c>
      <c r="S26" s="6">
        <v>58561</v>
      </c>
      <c r="T26" s="6">
        <v>45568</v>
      </c>
      <c r="U26" s="6">
        <v>2743</v>
      </c>
      <c r="V26" s="6">
        <v>10250</v>
      </c>
      <c r="W26" s="6">
        <v>1407</v>
      </c>
      <c r="X26" s="6">
        <v>2319</v>
      </c>
      <c r="Y26" s="6">
        <v>2014</v>
      </c>
      <c r="Z26" s="6">
        <v>45545</v>
      </c>
      <c r="AA26" s="6">
        <v>43473</v>
      </c>
      <c r="AB26" s="6">
        <v>34798</v>
      </c>
      <c r="AC26" s="6">
        <v>120</v>
      </c>
      <c r="AD26" s="6">
        <v>8555</v>
      </c>
      <c r="AE26" s="6">
        <v>687</v>
      </c>
      <c r="AF26" s="6">
        <v>1385</v>
      </c>
      <c r="AG26" s="6">
        <v>1186</v>
      </c>
      <c r="AH26" s="6">
        <v>27339</v>
      </c>
      <c r="AI26" s="6">
        <v>25491</v>
      </c>
      <c r="AJ26" s="6">
        <v>24667</v>
      </c>
      <c r="AK26" s="6">
        <v>824</v>
      </c>
      <c r="AL26" s="6">
        <v>700</v>
      </c>
      <c r="AM26" s="6">
        <v>1148</v>
      </c>
      <c r="AN26" s="6">
        <v>637</v>
      </c>
      <c r="AO26" s="6">
        <v>17979</v>
      </c>
      <c r="AP26" s="6">
        <v>16522</v>
      </c>
      <c r="AQ26" s="6">
        <v>16410</v>
      </c>
      <c r="AR26" s="6">
        <v>112</v>
      </c>
      <c r="AS26" s="6">
        <v>538</v>
      </c>
      <c r="AT26" s="6">
        <v>919</v>
      </c>
      <c r="AU26" s="6">
        <v>517</v>
      </c>
      <c r="AV26" s="6">
        <v>16612</v>
      </c>
      <c r="AW26" s="6">
        <v>15398</v>
      </c>
      <c r="AX26" s="6">
        <v>531</v>
      </c>
      <c r="AY26" s="6">
        <v>683</v>
      </c>
      <c r="AZ26" s="6">
        <v>1</v>
      </c>
      <c r="BA26" s="6">
        <v>7454</v>
      </c>
      <c r="BB26" s="6">
        <v>6705</v>
      </c>
      <c r="BC26" s="6">
        <v>237</v>
      </c>
      <c r="BD26" s="6">
        <v>512</v>
      </c>
      <c r="BE26" s="6">
        <v>0</v>
      </c>
      <c r="BF26" s="6">
        <v>28191</v>
      </c>
      <c r="BG26" s="6">
        <v>27595</v>
      </c>
      <c r="BH26" s="6">
        <v>187</v>
      </c>
      <c r="BI26" s="6">
        <v>409</v>
      </c>
      <c r="BJ26" s="6">
        <v>885</v>
      </c>
      <c r="BK26" s="6">
        <v>690</v>
      </c>
      <c r="BL26" s="6">
        <v>554</v>
      </c>
      <c r="BM26" s="6">
        <v>16</v>
      </c>
      <c r="BN26" s="6">
        <v>120</v>
      </c>
      <c r="BO26" s="6">
        <v>1</v>
      </c>
      <c r="BP26" s="6">
        <v>10640</v>
      </c>
      <c r="BQ26" s="6">
        <v>9747</v>
      </c>
      <c r="BR26" s="6">
        <v>64</v>
      </c>
      <c r="BS26" s="6">
        <v>829</v>
      </c>
      <c r="BT26" s="6">
        <v>18</v>
      </c>
      <c r="BU26" s="6">
        <v>296</v>
      </c>
      <c r="BV26" s="6">
        <v>0</v>
      </c>
      <c r="BW26" s="6">
        <v>296</v>
      </c>
      <c r="BX26" s="6">
        <v>0</v>
      </c>
      <c r="BY26" s="6">
        <v>0</v>
      </c>
      <c r="BZ26" s="6">
        <v>92.6903674161818</v>
      </c>
      <c r="CA26" s="6">
        <v>-0.669693784022218</v>
      </c>
      <c r="CB26" s="6">
        <v>-0.815488325719138</v>
      </c>
      <c r="CC26" s="6">
        <v>2.0937811574577</v>
      </c>
      <c r="CD26" s="6">
        <v>3.45094421047932</v>
      </c>
      <c r="CE26" s="6">
        <v>89.3893324440434</v>
      </c>
      <c r="CF26" s="6">
        <v>79.7847585805701</v>
      </c>
      <c r="CG26" s="6">
        <v>80.1783479349186</v>
      </c>
      <c r="CH26" s="6">
        <v>67.7763061950327</v>
      </c>
      <c r="CI26" s="6">
        <v>-0.419421124058394</v>
      </c>
      <c r="CJ26" s="6">
        <v>-1.54020149109362</v>
      </c>
      <c r="CK26" s="6">
        <v>1.02233664191431</v>
      </c>
      <c r="CL26" s="6">
        <v>2.06104257503832</v>
      </c>
      <c r="CM26" s="6">
        <v>68.262157443553</v>
      </c>
      <c r="CN26" s="6">
        <v>3.49040139616056</v>
      </c>
      <c r="CO26" s="6">
        <v>66.9195869837297</v>
      </c>
      <c r="CP26" s="6">
        <v>90.0553396139403</v>
      </c>
      <c r="CQ26" s="6">
        <v>-3.06194240198145</v>
      </c>
      <c r="CR26" s="6">
        <v>-0.24046379866921</v>
      </c>
      <c r="CS26" s="6">
        <v>2.30581724751301</v>
      </c>
      <c r="CT26" s="6">
        <v>3.78154028592134</v>
      </c>
      <c r="CU26" s="6">
        <v>84.3402742161589</v>
      </c>
      <c r="CV26" s="6">
        <v>74.1674167416742</v>
      </c>
      <c r="CW26" s="6">
        <v>59.223268990052</v>
      </c>
      <c r="CX26" s="6">
        <v>-3.42638938141413</v>
      </c>
      <c r="CY26" s="6">
        <v>-3.49496014230186</v>
      </c>
      <c r="CZ26" s="6">
        <v>1.77218525594571</v>
      </c>
      <c r="DA26" s="6">
        <v>3.02720864352065</v>
      </c>
      <c r="DB26" s="6">
        <v>56.1083188019284</v>
      </c>
      <c r="DC26" s="6">
        <v>10.0810081008101</v>
      </c>
      <c r="DD26" s="6">
        <v>87.8988306259591</v>
      </c>
      <c r="DE26" s="6">
        <v>-5.29371358913368</v>
      </c>
      <c r="DF26" s="6">
        <v>-2.31758294089635</v>
      </c>
      <c r="DG26" s="6">
        <v>2.80967246944283</v>
      </c>
      <c r="DH26" s="6">
        <v>3.6139478279274</v>
      </c>
      <c r="DI26" s="6">
        <v>44.8711774620756</v>
      </c>
      <c r="DJ26" s="6">
        <v>3.25779570341788</v>
      </c>
      <c r="DK26" s="6">
        <v>-0.0555087549331923</v>
      </c>
      <c r="DL26" s="6">
        <v>1.42667950878883</v>
      </c>
      <c r="DM26" s="6">
        <v>3.08210931856489</v>
      </c>
      <c r="DN26" s="6">
        <v>93.9856642773796</v>
      </c>
      <c r="DO26" s="6">
        <v>-1.03494011822483</v>
      </c>
      <c r="DP26" s="6">
        <v>-0.940156692782124</v>
      </c>
      <c r="DQ26" s="6">
        <v>0.623437239539923</v>
      </c>
      <c r="DR26" s="6">
        <v>1.36356059343224</v>
      </c>
      <c r="DS26" s="6">
        <v>96.9101123595506</v>
      </c>
      <c r="DT26" s="6">
        <v>-42.3275558018844</v>
      </c>
      <c r="DU26" s="6">
        <v>0.42134831460674</v>
      </c>
      <c r="DV26" s="6">
        <v>2.24719101123596</v>
      </c>
      <c r="DW26" s="6">
        <v>16.8539325842697</v>
      </c>
      <c r="DX26" s="6">
        <v>88.5117710672989</v>
      </c>
      <c r="DY26" s="6">
        <v>-12.188903973289</v>
      </c>
      <c r="DZ26" s="6">
        <v>0.15805673404875</v>
      </c>
      <c r="EA26" s="6">
        <v>0.532401630479993</v>
      </c>
      <c r="EB26" s="6">
        <v>6.89626486981116</v>
      </c>
      <c r="EC26" s="6" t="e">
        <v>#DIV/0!</v>
      </c>
      <c r="ED26" s="6" t="e">
        <v>#NUM!</v>
      </c>
      <c r="EE26" s="6" t="e">
        <v>#NUM!</v>
      </c>
      <c r="EF26" s="6" t="e">
        <v>#DIV/0!</v>
      </c>
      <c r="EG26" s="6">
        <v>0</v>
      </c>
      <c r="EH26" s="6">
        <v>29551002.085833</v>
      </c>
      <c r="EI26" s="6">
        <v>20156131.633976</v>
      </c>
      <c r="EJ26" s="6">
        <v>2848702.017963</v>
      </c>
      <c r="EK26" s="6">
        <v>4139132.647216</v>
      </c>
      <c r="EL26" s="6">
        <v>2407035.786678</v>
      </c>
      <c r="EM26" s="6">
        <v>11784059.837614</v>
      </c>
      <c r="EN26" s="6">
        <v>10906813.199697</v>
      </c>
      <c r="EO26" s="6">
        <v>317514.862614</v>
      </c>
      <c r="EP26" s="6">
        <v>559731.775303</v>
      </c>
      <c r="EQ26" s="6">
        <v>1268277.341306</v>
      </c>
      <c r="ER26" s="6">
        <v>9732598.401839</v>
      </c>
      <c r="ES26" s="6">
        <v>11593261.22775</v>
      </c>
      <c r="ET26" s="6">
        <v>37336825.306507</v>
      </c>
      <c r="EU26" s="6">
        <v>11916002.388605</v>
      </c>
      <c r="EV26" s="6">
        <v>52335937.666592</v>
      </c>
      <c r="EW26" s="6">
        <v>48930086.534257</v>
      </c>
      <c r="EX26" s="6">
        <v>11916002.388605</v>
      </c>
      <c r="EY26" s="6">
        <v>63430714.329454</v>
      </c>
      <c r="EZ26" s="6">
        <v>49751312.26</v>
      </c>
      <c r="FA26" s="6">
        <v>0</v>
      </c>
      <c r="FB26" s="6">
        <v>19325699.92</v>
      </c>
      <c r="FC26" s="6">
        <v>18036263.25</v>
      </c>
      <c r="FD26" s="6">
        <v>13075266.26</v>
      </c>
      <c r="FE26" s="6">
        <v>1877378.18</v>
      </c>
      <c r="FF26" s="6">
        <v>3083618.81</v>
      </c>
      <c r="FG26" s="6">
        <v>862606.72</v>
      </c>
      <c r="FH26" s="6">
        <v>426829.95</v>
      </c>
      <c r="FI26" s="6">
        <v>3463727.21</v>
      </c>
      <c r="FJ26" s="6">
        <v>8018523.61</v>
      </c>
      <c r="FK26" s="6">
        <v>7332042.63</v>
      </c>
      <c r="FL26" s="6">
        <v>7065978.76</v>
      </c>
      <c r="FM26" s="6">
        <v>266063.87</v>
      </c>
      <c r="FN26" s="6">
        <v>366178.79</v>
      </c>
      <c r="FO26" s="6">
        <v>320302.19</v>
      </c>
      <c r="FP26" s="6">
        <v>957677.95</v>
      </c>
      <c r="FQ26" s="6">
        <v>876142.16</v>
      </c>
      <c r="FR26" s="6">
        <v>774028.22</v>
      </c>
      <c r="FS26" s="6">
        <v>69132.81</v>
      </c>
      <c r="FT26" s="6">
        <v>32981.13</v>
      </c>
      <c r="FU26" s="6">
        <v>1920.17</v>
      </c>
      <c r="FV26" s="6">
        <v>5817041.17</v>
      </c>
      <c r="FW26" s="6">
        <v>5461838.03</v>
      </c>
      <c r="FX26" s="6">
        <v>42389.06</v>
      </c>
      <c r="FY26" s="6">
        <v>312814.08</v>
      </c>
      <c r="FZ26" s="6">
        <v>1518221.32</v>
      </c>
      <c r="GA26" s="6">
        <v>5790944.59</v>
      </c>
      <c r="GB26" s="6">
        <v>5234043.96</v>
      </c>
      <c r="GC26" s="6">
        <v>270868.9</v>
      </c>
      <c r="GD26" s="6">
        <v>286031.73</v>
      </c>
      <c r="GE26" s="6">
        <v>94877.27</v>
      </c>
      <c r="GF26" s="6">
        <v>20142895.92</v>
      </c>
      <c r="GG26" s="6">
        <v>19355904.91</v>
      </c>
      <c r="GH26" s="6">
        <v>180189.19</v>
      </c>
      <c r="GI26" s="6">
        <v>606801.82</v>
      </c>
      <c r="GJ26" s="6">
        <v>4849848.05</v>
      </c>
      <c r="GK26" s="6">
        <v>6477823.26</v>
      </c>
      <c r="GL26" s="6">
        <v>0</v>
      </c>
      <c r="GM26" s="6">
        <v>6092597.63</v>
      </c>
      <c r="GN26" s="6">
        <v>385225.63</v>
      </c>
      <c r="GO26" s="6">
        <v>2181477.8</v>
      </c>
      <c r="GP26" s="6">
        <v>34037406.86</v>
      </c>
      <c r="GQ26" s="6">
        <v>25933840.51</v>
      </c>
      <c r="GR26" s="6">
        <v>6477823.26</v>
      </c>
      <c r="GS26" s="6">
        <v>39100709.77</v>
      </c>
      <c r="GT26" s="6">
        <v>27348360.86</v>
      </c>
      <c r="GU26" s="6">
        <v>0</v>
      </c>
      <c r="GV26" s="6">
        <v>98.0966729852364</v>
      </c>
      <c r="GW26" s="6">
        <v>-7.47460878216162</v>
      </c>
      <c r="GX26" s="6">
        <v>-0.458745864543763</v>
      </c>
      <c r="GY26" s="6">
        <v>4.37856583083628</v>
      </c>
      <c r="GZ26" s="6">
        <v>2.16657602046916</v>
      </c>
      <c r="HA26" s="6">
        <v>97.304878466559</v>
      </c>
      <c r="HB26" s="6">
        <v>98.8543993805875</v>
      </c>
      <c r="HC26" s="6">
        <v>111.748731177076</v>
      </c>
      <c r="HD26" s="6">
        <v>17.5817753993893</v>
      </c>
      <c r="HE26" s="6">
        <v>102.068264933686</v>
      </c>
      <c r="HF26" s="6">
        <v>-0.300097662430677</v>
      </c>
      <c r="HG26" s="6">
        <v>-0.602520089303277</v>
      </c>
      <c r="HH26" s="6">
        <v>4.66111164207406</v>
      </c>
      <c r="HI26" s="6">
        <v>4.07714566644021</v>
      </c>
      <c r="HJ26" s="6">
        <v>97.1774976424319</v>
      </c>
      <c r="HK26" s="6">
        <v>125.693582251353</v>
      </c>
      <c r="HL26" s="6">
        <v>12.1903397029157</v>
      </c>
      <c r="HM26" s="6">
        <v>103.621912747152</v>
      </c>
      <c r="HN26" s="6">
        <v>0.828741859411797</v>
      </c>
      <c r="HO26" s="6">
        <v>-0.0895302148504973</v>
      </c>
      <c r="HP26" s="6">
        <v>8.17638316341885</v>
      </c>
      <c r="HQ26" s="6">
        <v>3.90070005895216</v>
      </c>
      <c r="HR26" s="6">
        <v>0.227099775908168</v>
      </c>
      <c r="HS26" s="6">
        <v>89.6529518093676</v>
      </c>
      <c r="HT26" s="6">
        <v>-7.57359955926947</v>
      </c>
      <c r="HU26" s="6">
        <v>-1.583617726817</v>
      </c>
      <c r="HV26" s="6">
        <v>0.653305390552082</v>
      </c>
      <c r="HW26" s="6">
        <v>4.82112895885378</v>
      </c>
      <c r="HX26" s="6">
        <v>23.3990131512022</v>
      </c>
      <c r="HY26" s="6">
        <v>74.9264310909161</v>
      </c>
      <c r="HZ26" s="6">
        <v>-16.1312819815024</v>
      </c>
      <c r="IA26" s="6">
        <v>-0.349426101236472</v>
      </c>
      <c r="IB26" s="6">
        <v>3.50465103837615</v>
      </c>
      <c r="IC26" s="6">
        <v>3.7008360854754</v>
      </c>
      <c r="ID26" s="6">
        <v>1.22757438311964</v>
      </c>
      <c r="IE26" s="6">
        <v>80.92370905122</v>
      </c>
      <c r="IF26" s="6">
        <v>-11.0876898560204</v>
      </c>
      <c r="IG26" s="6">
        <v>1.14813795585998</v>
      </c>
      <c r="IH26" s="6">
        <v>0.723906713495792</v>
      </c>
      <c r="II26" s="6">
        <v>2.43781500576957</v>
      </c>
      <c r="IJ26" s="6">
        <v>19.4841741773159</v>
      </c>
      <c r="IK26" s="6">
        <v>81.5435795757467</v>
      </c>
      <c r="IL26" s="6">
        <v>-10.3888031844152</v>
      </c>
      <c r="IM26" s="6">
        <v>-0.544763917558866</v>
      </c>
      <c r="IN26" s="6">
        <v>76.6943153161778</v>
      </c>
      <c r="IO26" s="6">
        <v>4.84926425956891</v>
      </c>
      <c r="IP26" s="6">
        <v>27.4606918770774</v>
      </c>
      <c r="IQ26" s="6">
        <v>97.5545916751407</v>
      </c>
      <c r="IR26" s="6">
        <v>-5.55235185570111</v>
      </c>
      <c r="IS26" s="6">
        <v>-0.691356626038087</v>
      </c>
      <c r="IT26" s="6">
        <v>79.5027426280245</v>
      </c>
      <c r="IU26" s="6">
        <v>-12.2734450977624</v>
      </c>
      <c r="IV26" s="6">
        <v>0.793312273975022</v>
      </c>
      <c r="IW26" s="6">
        <v>81.5435795757467</v>
      </c>
      <c r="IX26" s="6">
        <v>-10.3888031844152</v>
      </c>
      <c r="IY26" s="6">
        <v>-0.544763917558866</v>
      </c>
      <c r="IZ26" s="6">
        <v>92.4647708527624</v>
      </c>
      <c r="JA26" s="6">
        <v>-8.99823579296074</v>
      </c>
      <c r="JB26" s="6">
        <v>-0.662686425677306</v>
      </c>
      <c r="JC26" s="6">
        <v>82.4551944994265</v>
      </c>
      <c r="JD26" s="6">
        <v>-8.99332535056637</v>
      </c>
      <c r="JE26" s="6">
        <v>0.767362797253313</v>
      </c>
      <c r="JF26" s="6">
        <v>0</v>
      </c>
      <c r="JG26" s="6">
        <v>0</v>
      </c>
      <c r="JH26" s="6">
        <v>0</v>
      </c>
      <c r="JI26" s="6">
        <v>4436518.606156</v>
      </c>
      <c r="JJ26" s="6">
        <v>4078721.101056</v>
      </c>
      <c r="JK26" s="6">
        <v>993273.088649</v>
      </c>
      <c r="JL26" s="6">
        <v>5361087.320729</v>
      </c>
      <c r="JM26" s="6">
        <v>4147425.458359</v>
      </c>
      <c r="JN26" s="6">
        <v>0.0167730003595352</v>
      </c>
      <c r="JO26" s="6">
        <v>4043609.54</v>
      </c>
      <c r="JP26" s="6">
        <v>3468161.62</v>
      </c>
      <c r="JQ26" s="6">
        <v>771861.36</v>
      </c>
      <c r="JR26" s="6">
        <v>4642386.46</v>
      </c>
      <c r="JS26" s="6">
        <v>3896525.65</v>
      </c>
      <c r="JT26" s="6">
        <v>-255279.59</v>
      </c>
      <c r="JU26" s="6">
        <v>-4.13218212554786</v>
      </c>
      <c r="JV26" s="6">
        <v>-1.91242050739159</v>
      </c>
      <c r="JW26" s="6">
        <v>-6.42118798348542</v>
      </c>
      <c r="JX26" s="6">
        <v>-8.80254415464779</v>
      </c>
      <c r="JY26" s="6">
        <v>-2.32856318756156</v>
      </c>
      <c r="JZ26" s="6">
        <v>-1.93032480567199</v>
      </c>
      <c r="KA26" s="6">
        <v>-7.55849916973184</v>
      </c>
      <c r="KB26" s="6">
        <v>-4.97973352557416</v>
      </c>
      <c r="KC26" s="6">
        <v>-2.63868613047685</v>
      </c>
      <c r="KD26" s="6">
        <v>-7.66555576573739</v>
      </c>
      <c r="KE26" s="6">
        <v>-2.68474799638617</v>
      </c>
      <c r="KF26" s="6">
        <v>-1.76399829496327e-7</v>
      </c>
    </row>
    <row r="27" s="1" customFormat="1" ht="14.55" customHeight="1" spans="1:292">
      <c r="A27" s="5" t="s">
        <v>69</v>
      </c>
      <c r="B27" s="5" t="s">
        <v>97</v>
      </c>
      <c r="C27" s="5" t="s">
        <v>97</v>
      </c>
      <c r="D27" s="5" t="s">
        <v>97</v>
      </c>
      <c r="E27" s="5" t="s">
        <v>138</v>
      </c>
      <c r="F27" s="6">
        <v>108599</v>
      </c>
      <c r="G27" s="6">
        <v>94108</v>
      </c>
      <c r="H27" s="6">
        <v>3201</v>
      </c>
      <c r="I27" s="6">
        <v>11290</v>
      </c>
      <c r="J27" s="6">
        <v>56882</v>
      </c>
      <c r="K27" s="6">
        <v>44046</v>
      </c>
      <c r="L27" s="6">
        <v>12836</v>
      </c>
      <c r="M27" s="6">
        <v>8657</v>
      </c>
      <c r="N27" s="6">
        <v>33665</v>
      </c>
      <c r="O27" s="6">
        <v>1042</v>
      </c>
      <c r="P27" s="6">
        <v>15374</v>
      </c>
      <c r="Q27" s="6">
        <v>0</v>
      </c>
      <c r="R27" s="6">
        <v>101977</v>
      </c>
      <c r="S27" s="6">
        <v>97343</v>
      </c>
      <c r="T27" s="6">
        <v>86014</v>
      </c>
      <c r="U27" s="6">
        <v>2489</v>
      </c>
      <c r="V27" s="6">
        <v>8840</v>
      </c>
      <c r="W27" s="6">
        <v>1746</v>
      </c>
      <c r="X27" s="6">
        <v>2888</v>
      </c>
      <c r="Y27" s="6">
        <v>1883</v>
      </c>
      <c r="Z27" s="6">
        <v>83328</v>
      </c>
      <c r="AA27" s="6">
        <v>80447</v>
      </c>
      <c r="AB27" s="6">
        <v>72465</v>
      </c>
      <c r="AC27" s="6">
        <v>157</v>
      </c>
      <c r="AD27" s="6">
        <v>7825</v>
      </c>
      <c r="AE27" s="6">
        <v>936</v>
      </c>
      <c r="AF27" s="6">
        <v>1945</v>
      </c>
      <c r="AG27" s="6">
        <v>1381</v>
      </c>
      <c r="AH27" s="6">
        <v>53055</v>
      </c>
      <c r="AI27" s="6">
        <v>50663</v>
      </c>
      <c r="AJ27" s="6">
        <v>38015</v>
      </c>
      <c r="AK27" s="6">
        <v>12648</v>
      </c>
      <c r="AL27" s="6">
        <v>178</v>
      </c>
      <c r="AM27" s="6">
        <v>2214</v>
      </c>
      <c r="AN27" s="6">
        <v>335</v>
      </c>
      <c r="AO27" s="6">
        <v>8780</v>
      </c>
      <c r="AP27" s="6">
        <v>6862</v>
      </c>
      <c r="AQ27" s="6">
        <v>6794</v>
      </c>
      <c r="AR27" s="6">
        <v>68</v>
      </c>
      <c r="AS27" s="6">
        <v>135</v>
      </c>
      <c r="AT27" s="6">
        <v>1783</v>
      </c>
      <c r="AU27" s="6">
        <v>258</v>
      </c>
      <c r="AV27" s="6">
        <v>9160</v>
      </c>
      <c r="AW27" s="6">
        <v>7644</v>
      </c>
      <c r="AX27" s="6">
        <v>107</v>
      </c>
      <c r="AY27" s="6">
        <v>1409</v>
      </c>
      <c r="AZ27" s="6">
        <v>3</v>
      </c>
      <c r="BA27" s="6">
        <v>4580</v>
      </c>
      <c r="BB27" s="6">
        <v>3350</v>
      </c>
      <c r="BC27" s="6">
        <v>56</v>
      </c>
      <c r="BD27" s="6">
        <v>1174</v>
      </c>
      <c r="BE27" s="6">
        <v>0</v>
      </c>
      <c r="BF27" s="6">
        <v>32479</v>
      </c>
      <c r="BG27" s="6">
        <v>31962</v>
      </c>
      <c r="BH27" s="6">
        <v>147</v>
      </c>
      <c r="BI27" s="6">
        <v>370</v>
      </c>
      <c r="BJ27" s="6">
        <v>1328</v>
      </c>
      <c r="BK27" s="6">
        <v>1248</v>
      </c>
      <c r="BL27" s="6">
        <v>915</v>
      </c>
      <c r="BM27" s="6">
        <v>43</v>
      </c>
      <c r="BN27" s="6">
        <v>290</v>
      </c>
      <c r="BO27" s="6">
        <v>0</v>
      </c>
      <c r="BP27" s="6">
        <v>16166</v>
      </c>
      <c r="BQ27" s="6">
        <v>14036</v>
      </c>
      <c r="BR27" s="6">
        <v>1337</v>
      </c>
      <c r="BS27" s="6">
        <v>793</v>
      </c>
      <c r="BT27" s="6">
        <v>5</v>
      </c>
      <c r="BU27" s="6">
        <v>646</v>
      </c>
      <c r="BV27" s="6">
        <v>0</v>
      </c>
      <c r="BW27" s="6">
        <v>646</v>
      </c>
      <c r="BX27" s="6">
        <v>0</v>
      </c>
      <c r="BY27" s="6">
        <v>0</v>
      </c>
      <c r="BZ27" s="6">
        <v>93.9023379589131</v>
      </c>
      <c r="CA27" s="6">
        <v>1.53208704421018</v>
      </c>
      <c r="CB27" s="6">
        <v>-1.15470676525566</v>
      </c>
      <c r="CC27" s="6">
        <v>1.60774961095406</v>
      </c>
      <c r="CD27" s="6">
        <v>2.6593246714979</v>
      </c>
      <c r="CE27" s="6">
        <v>91.3992434224508</v>
      </c>
      <c r="CF27" s="6">
        <v>77.7569509528272</v>
      </c>
      <c r="CG27" s="6">
        <v>78.2993799822852</v>
      </c>
      <c r="CH27" s="6">
        <v>76.7299883056013</v>
      </c>
      <c r="CI27" s="6">
        <v>1.24575934376743</v>
      </c>
      <c r="CJ27" s="6">
        <v>-1.34531625521414</v>
      </c>
      <c r="CK27" s="6">
        <v>0.861886389377434</v>
      </c>
      <c r="CL27" s="6">
        <v>1.79099255057597</v>
      </c>
      <c r="CM27" s="6">
        <v>77.001955200408</v>
      </c>
      <c r="CN27" s="6">
        <v>4.9047172758513</v>
      </c>
      <c r="CO27" s="6">
        <v>69.3091231178034</v>
      </c>
      <c r="CP27" s="6">
        <v>93.2720368482121</v>
      </c>
      <c r="CQ27" s="6">
        <v>-2.9571282033423</v>
      </c>
      <c r="CR27" s="6">
        <v>-0.223269224007594</v>
      </c>
      <c r="CS27" s="6">
        <v>0.31292851868781</v>
      </c>
      <c r="CT27" s="6">
        <v>3.89226820435287</v>
      </c>
      <c r="CU27" s="6">
        <v>86.3074967079871</v>
      </c>
      <c r="CV27" s="6">
        <v>98.5353692739171</v>
      </c>
      <c r="CW27" s="6">
        <v>15.4354628880841</v>
      </c>
      <c r="CX27" s="6">
        <v>-9.47499528696823</v>
      </c>
      <c r="CY27" s="6">
        <v>-0.791111423648957</v>
      </c>
      <c r="CZ27" s="6">
        <v>0.237333427094687</v>
      </c>
      <c r="DA27" s="6">
        <v>3.13455926303576</v>
      </c>
      <c r="DB27" s="6">
        <v>15.4247831812196</v>
      </c>
      <c r="DC27" s="6">
        <v>0.529760049859769</v>
      </c>
      <c r="DD27" s="6">
        <v>105.810326903084</v>
      </c>
      <c r="DE27" s="6">
        <v>6.17758196765001</v>
      </c>
      <c r="DF27" s="6">
        <v>-0.716183435370232</v>
      </c>
      <c r="DG27" s="6">
        <v>1.23599399330022</v>
      </c>
      <c r="DH27" s="6">
        <v>16.2758461360749</v>
      </c>
      <c r="DI27" s="6">
        <v>50</v>
      </c>
      <c r="DJ27" s="6">
        <v>-8.73959571938169</v>
      </c>
      <c r="DK27" s="6">
        <v>0.368683582736934</v>
      </c>
      <c r="DL27" s="6">
        <v>0.611353711790393</v>
      </c>
      <c r="DM27" s="6">
        <v>12.8165938864629</v>
      </c>
      <c r="DN27" s="6">
        <v>96.4770533194713</v>
      </c>
      <c r="DO27" s="6">
        <v>-0.549271022420195</v>
      </c>
      <c r="DP27" s="6">
        <v>0.100995098767265</v>
      </c>
      <c r="DQ27" s="6">
        <v>0.436655279964355</v>
      </c>
      <c r="DR27" s="6">
        <v>1.09906431011436</v>
      </c>
      <c r="DS27" s="6">
        <v>119.769673704415</v>
      </c>
      <c r="DT27" s="6">
        <v>-4.95939033499428</v>
      </c>
      <c r="DU27" s="6">
        <v>-0.287907869481763</v>
      </c>
      <c r="DV27" s="6">
        <v>4.12667946257198</v>
      </c>
      <c r="DW27" s="6">
        <v>27.831094049904</v>
      </c>
      <c r="DX27" s="6">
        <v>105.151554572655</v>
      </c>
      <c r="DY27" s="6">
        <v>4.1873306067022</v>
      </c>
      <c r="DZ27" s="6">
        <v>0.656953297775464</v>
      </c>
      <c r="EA27" s="6">
        <v>8.69650058540393</v>
      </c>
      <c r="EB27" s="6">
        <v>5.15805906075192</v>
      </c>
      <c r="EC27" s="6" t="e">
        <v>#DIV/0!</v>
      </c>
      <c r="ED27" s="6" t="e">
        <v>#NUM!</v>
      </c>
      <c r="EE27" s="6" t="e">
        <v>#NUM!</v>
      </c>
      <c r="EF27" s="6" t="e">
        <v>#DIV/0!</v>
      </c>
      <c r="EG27" s="6">
        <v>0</v>
      </c>
      <c r="EH27" s="6">
        <v>49273595.108663</v>
      </c>
      <c r="EI27" s="6">
        <v>40173197.86508</v>
      </c>
      <c r="EJ27" s="6">
        <v>1994363.350034</v>
      </c>
      <c r="EK27" s="6">
        <v>2499739.521725</v>
      </c>
      <c r="EL27" s="6">
        <v>4606294.371824</v>
      </c>
      <c r="EM27" s="6">
        <v>5374497.340173</v>
      </c>
      <c r="EN27" s="6">
        <v>4905581.321563</v>
      </c>
      <c r="EO27" s="6">
        <v>267882.018485</v>
      </c>
      <c r="EP27" s="6">
        <v>201034.000125</v>
      </c>
      <c r="EQ27" s="6">
        <v>738220.728463</v>
      </c>
      <c r="ER27" s="6">
        <v>18276110.782132</v>
      </c>
      <c r="ES27" s="6">
        <v>7680950.86985</v>
      </c>
      <c r="ET27" s="6">
        <v>32436443.795483</v>
      </c>
      <c r="EU27" s="6">
        <v>12748920.447782</v>
      </c>
      <c r="EV27" s="6">
        <v>73662423.959431</v>
      </c>
      <c r="EW27" s="6">
        <v>40117394.665333</v>
      </c>
      <c r="EX27" s="6">
        <v>12748920.447782</v>
      </c>
      <c r="EY27" s="6">
        <v>78987943.652546</v>
      </c>
      <c r="EZ27" s="6">
        <v>47540795.42</v>
      </c>
      <c r="FA27" s="6">
        <v>0</v>
      </c>
      <c r="FB27" s="6">
        <v>33525519.06</v>
      </c>
      <c r="FC27" s="6">
        <v>30822816.94</v>
      </c>
      <c r="FD27" s="6">
        <v>26744776.86</v>
      </c>
      <c r="FE27" s="6">
        <v>1314341.31</v>
      </c>
      <c r="FF27" s="6">
        <v>2763698.77</v>
      </c>
      <c r="FG27" s="6">
        <v>2304223.24</v>
      </c>
      <c r="FH27" s="6">
        <v>398478.88</v>
      </c>
      <c r="FI27" s="6">
        <v>3233618.39</v>
      </c>
      <c r="FJ27" s="6">
        <v>3928575.65</v>
      </c>
      <c r="FK27" s="6">
        <v>3461198.03</v>
      </c>
      <c r="FL27" s="6">
        <v>3282707.23</v>
      </c>
      <c r="FM27" s="6">
        <v>178490.8</v>
      </c>
      <c r="FN27" s="6">
        <v>111583.99</v>
      </c>
      <c r="FO27" s="6">
        <v>355793.63</v>
      </c>
      <c r="FP27" s="6">
        <v>451218.94</v>
      </c>
      <c r="FQ27" s="6">
        <v>518278.25</v>
      </c>
      <c r="FR27" s="6">
        <v>462430.83</v>
      </c>
      <c r="FS27" s="6">
        <v>7708.25</v>
      </c>
      <c r="FT27" s="6">
        <v>48139.17</v>
      </c>
      <c r="FU27" s="6">
        <v>14729.17</v>
      </c>
      <c r="FV27" s="6">
        <v>10673973.42</v>
      </c>
      <c r="FW27" s="6">
        <v>10586658.57</v>
      </c>
      <c r="FX27" s="6">
        <v>54805.28</v>
      </c>
      <c r="FY27" s="6">
        <v>32509.57</v>
      </c>
      <c r="FZ27" s="6">
        <v>3628822.54</v>
      </c>
      <c r="GA27" s="6">
        <v>6677787.71</v>
      </c>
      <c r="GB27" s="6">
        <v>4434350.36</v>
      </c>
      <c r="GC27" s="6">
        <v>1869585.91</v>
      </c>
      <c r="GD27" s="6">
        <v>373851.44</v>
      </c>
      <c r="GE27" s="6">
        <v>1087564.06</v>
      </c>
      <c r="GF27" s="6">
        <v>22427827.11</v>
      </c>
      <c r="GG27" s="6">
        <v>20327009.86</v>
      </c>
      <c r="GH27" s="6">
        <v>536822.77</v>
      </c>
      <c r="GI27" s="6">
        <v>1563994.48</v>
      </c>
      <c r="GJ27" s="6">
        <v>577011.47</v>
      </c>
      <c r="GK27" s="6">
        <v>9928602.97</v>
      </c>
      <c r="GL27" s="6">
        <v>0</v>
      </c>
      <c r="GM27" s="6">
        <v>8899285.08</v>
      </c>
      <c r="GN27" s="6">
        <v>1029317.89</v>
      </c>
      <c r="GO27" s="6">
        <v>3965056.64</v>
      </c>
      <c r="GP27" s="6">
        <v>48646346.38</v>
      </c>
      <c r="GQ27" s="6">
        <v>29105614.82</v>
      </c>
      <c r="GR27" s="6">
        <v>9928602.97</v>
      </c>
      <c r="GS27" s="6">
        <v>54508342.3</v>
      </c>
      <c r="GT27" s="6">
        <v>33172221.87</v>
      </c>
      <c r="GU27" s="6">
        <v>0</v>
      </c>
      <c r="GV27" s="6">
        <v>102.059284448596</v>
      </c>
      <c r="GW27" s="6">
        <v>-2.3198668671832</v>
      </c>
      <c r="GX27" s="6">
        <v>-0.55112446731876</v>
      </c>
      <c r="GY27" s="6">
        <v>7.0145781982779</v>
      </c>
      <c r="GZ27" s="6">
        <v>1.21306009574063</v>
      </c>
      <c r="HA27" s="6">
        <v>99.8605224924633</v>
      </c>
      <c r="HB27" s="6">
        <v>98.8542015158065</v>
      </c>
      <c r="HC27" s="6">
        <v>165.83920520404</v>
      </c>
      <c r="HD27" s="6">
        <v>9.84386784504633</v>
      </c>
      <c r="HE27" s="6">
        <v>109.644923088013</v>
      </c>
      <c r="HF27" s="6">
        <v>12.5634059120115</v>
      </c>
      <c r="HG27" s="6">
        <v>1.04357625108318</v>
      </c>
      <c r="HH27" s="6">
        <v>3.11426305394008</v>
      </c>
      <c r="HI27" s="6">
        <v>9.93005319792048</v>
      </c>
      <c r="HJ27" s="6">
        <v>100.376704048423</v>
      </c>
      <c r="HK27" s="6">
        <v>99.9455661541507</v>
      </c>
      <c r="HL27" s="6">
        <v>12.5933341698931</v>
      </c>
      <c r="HM27" s="6">
        <v>105.309610665987</v>
      </c>
      <c r="HN27" s="6">
        <v>-5.53409574092125</v>
      </c>
      <c r="HO27" s="6">
        <v>0.862710322674243</v>
      </c>
      <c r="HP27" s="6">
        <v>1.56624903016111</v>
      </c>
      <c r="HQ27" s="6">
        <v>9.78145860931608</v>
      </c>
      <c r="HR27" s="6">
        <v>2.99283861156269</v>
      </c>
      <c r="HS27" s="6">
        <v>87.6059481191886</v>
      </c>
      <c r="HT27" s="6">
        <v>-11.2274152117667</v>
      </c>
      <c r="HU27" s="6">
        <v>-1.97002696192893</v>
      </c>
      <c r="HV27" s="6">
        <v>0.44981079935438</v>
      </c>
      <c r="HW27" s="6">
        <v>0.266820198133595</v>
      </c>
      <c r="HX27" s="6">
        <v>29.7833268515842</v>
      </c>
      <c r="HY27" s="6">
        <v>130.409395070061</v>
      </c>
      <c r="HZ27" s="6">
        <v>24.3002203992068</v>
      </c>
      <c r="IA27" s="6">
        <v>-4.37522244475881</v>
      </c>
      <c r="IB27" s="6">
        <v>36.5108293558811</v>
      </c>
      <c r="IC27" s="6">
        <v>7.3008820066955</v>
      </c>
      <c r="ID27" s="6">
        <v>21.2388559390936</v>
      </c>
      <c r="IE27" s="6">
        <v>103.715872421516</v>
      </c>
      <c r="IF27" s="6">
        <v>-28.6070030237335</v>
      </c>
      <c r="IG27" s="6">
        <v>-2.92466189611995</v>
      </c>
      <c r="IH27" s="6">
        <v>2.48249826669388</v>
      </c>
      <c r="II27" s="6">
        <v>7.23257991779819</v>
      </c>
      <c r="IJ27" s="6">
        <v>2.66834801761015</v>
      </c>
      <c r="IK27" s="6">
        <v>116.816984747842</v>
      </c>
      <c r="IL27" s="6">
        <v>-9.36800563071139</v>
      </c>
      <c r="IM27" s="6">
        <v>4.18141809427727</v>
      </c>
      <c r="IN27" s="6">
        <v>104.70633709478</v>
      </c>
      <c r="IO27" s="6">
        <v>12.1106476530616</v>
      </c>
      <c r="IP27" s="6">
        <v>46.6516752093683</v>
      </c>
      <c r="IQ27" s="6">
        <v>99.0593516311483</v>
      </c>
      <c r="IR27" s="6">
        <v>-3.37495397353437</v>
      </c>
      <c r="IS27" s="6">
        <v>-0.772642866869518</v>
      </c>
      <c r="IT27" s="6">
        <v>108.826663830508</v>
      </c>
      <c r="IU27" s="6">
        <v>-16.1099027572595</v>
      </c>
      <c r="IV27" s="6">
        <v>-3.20238891206361</v>
      </c>
      <c r="IW27" s="6">
        <v>116.816984747842</v>
      </c>
      <c r="IX27" s="6">
        <v>-9.36800563071139</v>
      </c>
      <c r="IY27" s="6">
        <v>4.18141809427727</v>
      </c>
      <c r="IZ27" s="6">
        <v>103.512649740141</v>
      </c>
      <c r="JA27" s="6">
        <v>14.6965331306059</v>
      </c>
      <c r="JB27" s="6">
        <v>-0.951272222566134</v>
      </c>
      <c r="JC27" s="6">
        <v>104.664493653102</v>
      </c>
      <c r="JD27" s="6">
        <v>-99.2890724017311</v>
      </c>
      <c r="JE27" s="6">
        <v>-1.19767964388364</v>
      </c>
      <c r="JF27" s="6">
        <v>0</v>
      </c>
      <c r="JG27" s="6">
        <v>0</v>
      </c>
      <c r="JH27" s="6">
        <v>0</v>
      </c>
      <c r="JI27" s="6">
        <v>6369089.21697</v>
      </c>
      <c r="JJ27" s="6">
        <v>3345608.28595</v>
      </c>
      <c r="JK27" s="6">
        <v>1063215.729002</v>
      </c>
      <c r="JL27" s="6">
        <v>6812358.296091</v>
      </c>
      <c r="JM27" s="6">
        <v>3965554.887276</v>
      </c>
      <c r="JN27" s="6">
        <v>0.0485549969598651</v>
      </c>
      <c r="JO27" s="6">
        <v>5748790.61</v>
      </c>
      <c r="JP27" s="6">
        <v>2888784.77</v>
      </c>
      <c r="JQ27" s="6">
        <v>1552042.01</v>
      </c>
      <c r="JR27" s="6">
        <v>6375231.74</v>
      </c>
      <c r="JS27" s="6">
        <v>3936222.18</v>
      </c>
      <c r="JT27" s="6">
        <v>-121836.53</v>
      </c>
      <c r="JU27" s="6">
        <v>-5.75527556793464</v>
      </c>
      <c r="JV27" s="6">
        <v>-2.67487697540677</v>
      </c>
      <c r="JW27" s="6">
        <v>-4.23851543540897</v>
      </c>
      <c r="JX27" s="6">
        <v>2.71475155026668</v>
      </c>
      <c r="JY27" s="6">
        <v>4.53544457520956</v>
      </c>
      <c r="JZ27" s="6">
        <v>1.65022336347277</v>
      </c>
      <c r="KA27" s="6">
        <v>-4.05576243457149</v>
      </c>
      <c r="KB27" s="6">
        <v>0.0109899883540442</v>
      </c>
      <c r="KC27" s="6">
        <v>-0.272155719245556</v>
      </c>
      <c r="KD27" s="6">
        <v>1.67910840048328</v>
      </c>
      <c r="KE27" s="6">
        <v>-1.13042827431698</v>
      </c>
      <c r="KF27" s="6">
        <v>-4.50504619169275e-7</v>
      </c>
    </row>
    <row r="28" s="1" customFormat="1" ht="14.55" customHeight="1" spans="1:292">
      <c r="A28" s="5" t="s">
        <v>68</v>
      </c>
      <c r="B28" s="5" t="s">
        <v>97</v>
      </c>
      <c r="C28" s="5" t="s">
        <v>97</v>
      </c>
      <c r="D28" s="5" t="s">
        <v>97</v>
      </c>
      <c r="E28" s="5" t="s">
        <v>138</v>
      </c>
      <c r="F28" s="6">
        <v>66175</v>
      </c>
      <c r="G28" s="6">
        <v>56434</v>
      </c>
      <c r="H28" s="6">
        <v>4743</v>
      </c>
      <c r="I28" s="6">
        <v>4998</v>
      </c>
      <c r="J28" s="6">
        <v>37341</v>
      </c>
      <c r="K28" s="6">
        <v>34781</v>
      </c>
      <c r="L28" s="6">
        <v>2560</v>
      </c>
      <c r="M28" s="6">
        <v>27688</v>
      </c>
      <c r="N28" s="6">
        <v>70216</v>
      </c>
      <c r="O28" s="6">
        <v>1413</v>
      </c>
      <c r="P28" s="6">
        <v>26750</v>
      </c>
      <c r="Q28" s="6">
        <v>0</v>
      </c>
      <c r="R28" s="6">
        <v>64658</v>
      </c>
      <c r="S28" s="6">
        <v>58690</v>
      </c>
      <c r="T28" s="6">
        <v>51077</v>
      </c>
      <c r="U28" s="6">
        <v>3933</v>
      </c>
      <c r="V28" s="6">
        <v>3680</v>
      </c>
      <c r="W28" s="6">
        <v>1287</v>
      </c>
      <c r="X28" s="6">
        <v>4681</v>
      </c>
      <c r="Y28" s="6">
        <v>3381</v>
      </c>
      <c r="Z28" s="6">
        <v>47705</v>
      </c>
      <c r="AA28" s="6">
        <v>44676</v>
      </c>
      <c r="AB28" s="6">
        <v>41470</v>
      </c>
      <c r="AC28" s="6">
        <v>235</v>
      </c>
      <c r="AD28" s="6">
        <v>2971</v>
      </c>
      <c r="AE28" s="6">
        <v>759</v>
      </c>
      <c r="AF28" s="6">
        <v>2270</v>
      </c>
      <c r="AG28" s="6">
        <v>2199</v>
      </c>
      <c r="AH28" s="6">
        <v>37340</v>
      </c>
      <c r="AI28" s="6">
        <v>34255</v>
      </c>
      <c r="AJ28" s="6">
        <v>31783</v>
      </c>
      <c r="AK28" s="6">
        <v>2472</v>
      </c>
      <c r="AL28" s="6">
        <v>1599</v>
      </c>
      <c r="AM28" s="6">
        <v>1486</v>
      </c>
      <c r="AN28" s="6">
        <v>1288</v>
      </c>
      <c r="AO28" s="6">
        <v>24181</v>
      </c>
      <c r="AP28" s="6">
        <v>21661</v>
      </c>
      <c r="AQ28" s="6">
        <v>21581</v>
      </c>
      <c r="AR28" s="6">
        <v>80</v>
      </c>
      <c r="AS28" s="6">
        <v>1358</v>
      </c>
      <c r="AT28" s="6">
        <v>1162</v>
      </c>
      <c r="AU28" s="6">
        <v>964</v>
      </c>
      <c r="AV28" s="6">
        <v>25047</v>
      </c>
      <c r="AW28" s="6">
        <v>23434</v>
      </c>
      <c r="AX28" s="6">
        <v>773</v>
      </c>
      <c r="AY28" s="6">
        <v>840</v>
      </c>
      <c r="AZ28" s="6">
        <v>2</v>
      </c>
      <c r="BA28" s="6">
        <v>15644</v>
      </c>
      <c r="BB28" s="6">
        <v>14428</v>
      </c>
      <c r="BC28" s="6">
        <v>686</v>
      </c>
      <c r="BD28" s="6">
        <v>530</v>
      </c>
      <c r="BE28" s="6">
        <v>0</v>
      </c>
      <c r="BF28" s="6">
        <v>68074</v>
      </c>
      <c r="BG28" s="6">
        <v>67264</v>
      </c>
      <c r="BH28" s="6">
        <v>373</v>
      </c>
      <c r="BI28" s="6">
        <v>437</v>
      </c>
      <c r="BJ28" s="6">
        <v>1469</v>
      </c>
      <c r="BK28" s="6">
        <v>1507</v>
      </c>
      <c r="BL28" s="6">
        <v>1237</v>
      </c>
      <c r="BM28" s="6">
        <v>55</v>
      </c>
      <c r="BN28" s="6">
        <v>215</v>
      </c>
      <c r="BO28" s="6">
        <v>3</v>
      </c>
      <c r="BP28" s="6">
        <v>19822</v>
      </c>
      <c r="BQ28" s="6">
        <v>18613</v>
      </c>
      <c r="BR28" s="6">
        <v>88</v>
      </c>
      <c r="BS28" s="6">
        <v>1121</v>
      </c>
      <c r="BT28" s="6">
        <v>6</v>
      </c>
      <c r="BU28" s="6">
        <v>240</v>
      </c>
      <c r="BV28" s="6">
        <v>0</v>
      </c>
      <c r="BW28" s="6">
        <v>240</v>
      </c>
      <c r="BX28" s="6">
        <v>0</v>
      </c>
      <c r="BY28" s="6">
        <v>0</v>
      </c>
      <c r="BZ28" s="6">
        <v>97.7075935020778</v>
      </c>
      <c r="CA28" s="6">
        <v>2.96537655282347</v>
      </c>
      <c r="CB28" s="6">
        <v>0.773706082357384</v>
      </c>
      <c r="CC28" s="6">
        <v>1.94484321873819</v>
      </c>
      <c r="CD28" s="6">
        <v>7.07366830374008</v>
      </c>
      <c r="CE28" s="6">
        <v>90.5074954814473</v>
      </c>
      <c r="CF28" s="6">
        <v>82.9222011385199</v>
      </c>
      <c r="CG28" s="6">
        <v>73.6294517807123</v>
      </c>
      <c r="CH28" s="6">
        <v>72.0891575368342</v>
      </c>
      <c r="CI28" s="6">
        <v>0.995700856100667</v>
      </c>
      <c r="CJ28" s="6">
        <v>-0.205515678126189</v>
      </c>
      <c r="CK28" s="6">
        <v>1.14695882130714</v>
      </c>
      <c r="CL28" s="6">
        <v>3.43029845107669</v>
      </c>
      <c r="CM28" s="6">
        <v>73.4840698869476</v>
      </c>
      <c r="CN28" s="6">
        <v>4.95467004005903</v>
      </c>
      <c r="CO28" s="6">
        <v>59.4437775110044</v>
      </c>
      <c r="CP28" s="6">
        <v>100</v>
      </c>
      <c r="CQ28" s="6">
        <v>1.08820313125116</v>
      </c>
      <c r="CR28" s="6">
        <v>-0.353498835060662</v>
      </c>
      <c r="CS28" s="6">
        <v>4.28215634289387</v>
      </c>
      <c r="CT28" s="6">
        <v>3.97953991591013</v>
      </c>
      <c r="CU28" s="6">
        <v>91.3803513412495</v>
      </c>
      <c r="CV28" s="6">
        <v>96.5625</v>
      </c>
      <c r="CW28" s="6">
        <v>64.7572373530436</v>
      </c>
      <c r="CX28" s="6">
        <v>-3.21278371755627</v>
      </c>
      <c r="CY28" s="6">
        <v>-1.36043491068798</v>
      </c>
      <c r="CZ28" s="6">
        <v>3.6367531667604</v>
      </c>
      <c r="DA28" s="6">
        <v>3.11186095712488</v>
      </c>
      <c r="DB28" s="6">
        <v>62.0482447313188</v>
      </c>
      <c r="DC28" s="6">
        <v>3.125</v>
      </c>
      <c r="DD28" s="6">
        <v>90.4615718000578</v>
      </c>
      <c r="DE28" s="6">
        <v>-7.58736302381904</v>
      </c>
      <c r="DF28" s="6">
        <v>-1.61802947125109</v>
      </c>
      <c r="DG28" s="6">
        <v>2.7918231724935</v>
      </c>
      <c r="DH28" s="6">
        <v>3.03380525859578</v>
      </c>
      <c r="DI28" s="6">
        <v>62.4585778735976</v>
      </c>
      <c r="DJ28" s="6">
        <v>5.51547794889073</v>
      </c>
      <c r="DK28" s="6">
        <v>-0.463563722793814</v>
      </c>
      <c r="DL28" s="6">
        <v>2.73885096019483</v>
      </c>
      <c r="DM28" s="6">
        <v>2.11602187886773</v>
      </c>
      <c r="DN28" s="6">
        <v>96.9494132391478</v>
      </c>
      <c r="DO28" s="6">
        <v>0.489699492643292</v>
      </c>
      <c r="DP28" s="6">
        <v>-0.175173749572743</v>
      </c>
      <c r="DQ28" s="6">
        <v>0.53121795602142</v>
      </c>
      <c r="DR28" s="6">
        <v>0.62236527287228</v>
      </c>
      <c r="DS28" s="6">
        <v>106.652512384996</v>
      </c>
      <c r="DT28" s="6">
        <v>9.1596757087787</v>
      </c>
      <c r="DU28" s="6">
        <v>1.8400566171267</v>
      </c>
      <c r="DV28" s="6">
        <v>3.89242745930644</v>
      </c>
      <c r="DW28" s="6">
        <v>15.2158527954706</v>
      </c>
      <c r="DX28" s="6">
        <v>74.1009345794393</v>
      </c>
      <c r="DY28" s="6">
        <v>-21.7485370410839</v>
      </c>
      <c r="DZ28" s="6">
        <v>0.564485981308405</v>
      </c>
      <c r="EA28" s="6">
        <v>0.328971962616822</v>
      </c>
      <c r="EB28" s="6">
        <v>4.19065420560748</v>
      </c>
      <c r="EC28" s="6" t="e">
        <v>#DIV/0!</v>
      </c>
      <c r="ED28" s="6" t="e">
        <v>#NUM!</v>
      </c>
      <c r="EE28" s="6" t="e">
        <v>#NUM!</v>
      </c>
      <c r="EF28" s="6" t="e">
        <v>#DIV/0!</v>
      </c>
      <c r="EG28" s="6">
        <v>0</v>
      </c>
      <c r="EH28" s="6">
        <v>35977297.970723</v>
      </c>
      <c r="EI28" s="6">
        <v>28139463.744613</v>
      </c>
      <c r="EJ28" s="6">
        <v>4262944.635138</v>
      </c>
      <c r="EK28" s="6">
        <v>1565408.105108</v>
      </c>
      <c r="EL28" s="6">
        <v>2009481.485864</v>
      </c>
      <c r="EM28" s="6">
        <v>14394081.461043</v>
      </c>
      <c r="EN28" s="6">
        <v>13386713.405233</v>
      </c>
      <c r="EO28" s="6">
        <v>452531.608378</v>
      </c>
      <c r="EP28" s="6">
        <v>554836.447432</v>
      </c>
      <c r="EQ28" s="6">
        <v>2018120.529156</v>
      </c>
      <c r="ER28" s="6">
        <v>20838368.85512</v>
      </c>
      <c r="ES28" s="6">
        <v>20577118.83427</v>
      </c>
      <c r="ET28" s="6">
        <v>34135551.0921</v>
      </c>
      <c r="EU28" s="6">
        <v>13875588.336181</v>
      </c>
      <c r="EV28" s="6">
        <v>73227868.816042</v>
      </c>
      <c r="EW28" s="6">
        <v>54712669.92637</v>
      </c>
      <c r="EX28" s="6">
        <v>13875588.336181</v>
      </c>
      <c r="EY28" s="6">
        <v>95258567.848593</v>
      </c>
      <c r="EZ28" s="6">
        <v>46557559.23</v>
      </c>
      <c r="FA28" s="6">
        <v>0</v>
      </c>
      <c r="FB28" s="6">
        <v>23962920.69</v>
      </c>
      <c r="FC28" s="6">
        <v>22393803.34</v>
      </c>
      <c r="FD28" s="6">
        <v>18494928.66</v>
      </c>
      <c r="FE28" s="6">
        <v>2689350.92</v>
      </c>
      <c r="FF28" s="6">
        <v>1209523.76</v>
      </c>
      <c r="FG28" s="6">
        <v>1048192.79</v>
      </c>
      <c r="FH28" s="6">
        <v>520924.56</v>
      </c>
      <c r="FI28" s="6">
        <v>6140320.65</v>
      </c>
      <c r="FJ28" s="6">
        <v>10458741.48</v>
      </c>
      <c r="FK28" s="6">
        <v>9156185.67</v>
      </c>
      <c r="FL28" s="6">
        <v>8873385.12</v>
      </c>
      <c r="FM28" s="6">
        <v>282800.55</v>
      </c>
      <c r="FN28" s="6">
        <v>786793.98</v>
      </c>
      <c r="FO28" s="6">
        <v>515761.83</v>
      </c>
      <c r="FP28" s="6">
        <v>2528519.65</v>
      </c>
      <c r="FQ28" s="6">
        <v>1396605.09</v>
      </c>
      <c r="FR28" s="6">
        <v>1270705.75</v>
      </c>
      <c r="FS28" s="6">
        <v>70278.33</v>
      </c>
      <c r="FT28" s="6">
        <v>55621.01</v>
      </c>
      <c r="FU28" s="6">
        <v>5214.6</v>
      </c>
      <c r="FV28" s="6">
        <v>12924697.2</v>
      </c>
      <c r="FW28" s="6">
        <v>12768315.06</v>
      </c>
      <c r="FX28" s="6">
        <v>87549.16</v>
      </c>
      <c r="FY28" s="6">
        <v>68832.98</v>
      </c>
      <c r="FZ28" s="6">
        <v>2441613.79</v>
      </c>
      <c r="GA28" s="6">
        <v>14900669.24</v>
      </c>
      <c r="GB28" s="6">
        <v>12055916.92</v>
      </c>
      <c r="GC28" s="6">
        <v>2002349.13</v>
      </c>
      <c r="GD28" s="6">
        <v>842403.19</v>
      </c>
      <c r="GE28" s="6">
        <v>1166391.77</v>
      </c>
      <c r="GF28" s="6">
        <v>26818837.13</v>
      </c>
      <c r="GG28" s="6">
        <v>25543534.97</v>
      </c>
      <c r="GH28" s="6">
        <v>94327.18</v>
      </c>
      <c r="GI28" s="6">
        <v>1180974.98</v>
      </c>
      <c r="GJ28" s="6">
        <v>1150459.92</v>
      </c>
      <c r="GK28" s="6">
        <v>11243606.66</v>
      </c>
      <c r="GL28" s="6">
        <v>0</v>
      </c>
      <c r="GM28" s="6">
        <v>10074123.75</v>
      </c>
      <c r="GN28" s="6">
        <v>1169482.91</v>
      </c>
      <c r="GO28" s="6">
        <v>5072592.88</v>
      </c>
      <c r="GP28" s="6">
        <v>48742964.46</v>
      </c>
      <c r="GQ28" s="6">
        <v>41719506.37</v>
      </c>
      <c r="GR28" s="6">
        <v>11243606.66</v>
      </c>
      <c r="GS28" s="6">
        <v>65788510.25</v>
      </c>
      <c r="GT28" s="6">
        <v>35917567.24</v>
      </c>
      <c r="GU28" s="6">
        <v>0</v>
      </c>
      <c r="GV28" s="6">
        <v>99.9085063704623</v>
      </c>
      <c r="GW28" s="6">
        <v>-0.00738002061331732</v>
      </c>
      <c r="GX28" s="6">
        <v>-0.163003107179297</v>
      </c>
      <c r="GY28" s="6">
        <v>4.37022587488219</v>
      </c>
      <c r="GZ28" s="6">
        <v>2.17188861886144</v>
      </c>
      <c r="HA28" s="6">
        <v>98.5889185443734</v>
      </c>
      <c r="HB28" s="6">
        <v>94.6300439078869</v>
      </c>
      <c r="HC28" s="6">
        <v>115.89857201326</v>
      </c>
      <c r="HD28" s="6">
        <v>25.6008135533001</v>
      </c>
      <c r="HE28" s="6">
        <v>108.990019699828</v>
      </c>
      <c r="HF28" s="6">
        <v>9.0822502185041</v>
      </c>
      <c r="HG28" s="6">
        <v>-0.630050087618228</v>
      </c>
      <c r="HH28" s="6">
        <v>8.19914055088641</v>
      </c>
      <c r="HI28" s="6">
        <v>5.37472812762546</v>
      </c>
      <c r="HJ28" s="6">
        <v>99.4275239716192</v>
      </c>
      <c r="HK28" s="6">
        <v>93.7394907110366</v>
      </c>
      <c r="HL28" s="6">
        <v>26.3495762842874</v>
      </c>
      <c r="HM28" s="6">
        <v>103.804882054102</v>
      </c>
      <c r="HN28" s="6">
        <v>-4.8925257966937</v>
      </c>
      <c r="HO28" s="6">
        <v>-0.434020197889216</v>
      </c>
      <c r="HP28" s="6">
        <v>5.22354802287685</v>
      </c>
      <c r="HQ28" s="6">
        <v>4.13411953323184</v>
      </c>
      <c r="HR28" s="6">
        <v>0.387583391923138</v>
      </c>
      <c r="HS28" s="6">
        <v>93.035332730645</v>
      </c>
      <c r="HT28" s="6">
        <v>-1.03910074505939</v>
      </c>
      <c r="HU28" s="6">
        <v>-0.361848886726847</v>
      </c>
      <c r="HV28" s="6">
        <v>0.630201629086404</v>
      </c>
      <c r="HW28" s="6">
        <v>0.495477696540685</v>
      </c>
      <c r="HX28" s="6">
        <v>17.5753712320921</v>
      </c>
      <c r="HY28" s="6">
        <v>108.620667645539</v>
      </c>
      <c r="HZ28" s="6">
        <v>8.55007568094837</v>
      </c>
      <c r="IA28" s="6">
        <v>0.0195728776130055</v>
      </c>
      <c r="IB28" s="6">
        <v>14.5964248891726</v>
      </c>
      <c r="IC28" s="6">
        <v>6.14082464691577</v>
      </c>
      <c r="ID28" s="6">
        <v>8.50258808869861</v>
      </c>
      <c r="IE28" s="6">
        <v>117.848560834602</v>
      </c>
      <c r="IF28" s="6">
        <v>22.5810238051137</v>
      </c>
      <c r="IG28" s="6">
        <v>-2.66605995851736</v>
      </c>
      <c r="IH28" s="6">
        <v>0.414496808966841</v>
      </c>
      <c r="II28" s="6">
        <v>5.18949427598364</v>
      </c>
      <c r="IJ28" s="6">
        <v>5.05540360354509</v>
      </c>
      <c r="IK28" s="6">
        <v>121.547350507819</v>
      </c>
      <c r="IL28" s="6">
        <v>17.3740726735339</v>
      </c>
      <c r="IM28" s="6">
        <v>-2.52876532974043</v>
      </c>
      <c r="IN28" s="6">
        <v>108.90482809725</v>
      </c>
      <c r="IO28" s="6">
        <v>12.6425224105691</v>
      </c>
      <c r="IP28" s="6">
        <v>54.8365167346425</v>
      </c>
      <c r="IQ28" s="6">
        <v>99.8451107100673</v>
      </c>
      <c r="IR28" s="6">
        <v>1.40873860409126</v>
      </c>
      <c r="IS28" s="6">
        <v>-0.318862881895032</v>
      </c>
      <c r="IT28" s="6">
        <v>114.37800355789</v>
      </c>
      <c r="IU28" s="6">
        <v>17.3173469398356</v>
      </c>
      <c r="IV28" s="6">
        <v>-1.65600897601839</v>
      </c>
      <c r="IW28" s="6">
        <v>121.547350507819</v>
      </c>
      <c r="IX28" s="6">
        <v>17.3740726735339</v>
      </c>
      <c r="IY28" s="6">
        <v>-2.52876532974043</v>
      </c>
      <c r="IZ28" s="6">
        <v>103.59463469139</v>
      </c>
      <c r="JA28" s="6">
        <v>6.64830090145392</v>
      </c>
      <c r="JB28" s="6">
        <v>-0.586419370128777</v>
      </c>
      <c r="JC28" s="6">
        <v>115.719878256169</v>
      </c>
      <c r="JD28" s="6">
        <v>13.8306196440685</v>
      </c>
      <c r="JE28" s="6">
        <v>-2.00141417814734</v>
      </c>
      <c r="JF28" s="6">
        <v>0</v>
      </c>
      <c r="JG28" s="6">
        <v>0</v>
      </c>
      <c r="JH28" s="6">
        <v>0</v>
      </c>
      <c r="JI28" s="6">
        <v>6192225.725435</v>
      </c>
      <c r="JJ28" s="6">
        <v>4563255.798015</v>
      </c>
      <c r="JK28" s="6">
        <v>1157811.075386</v>
      </c>
      <c r="JL28" s="6">
        <v>8023708.297029</v>
      </c>
      <c r="JM28" s="6">
        <v>3889584.307365</v>
      </c>
      <c r="JN28" s="6">
        <v>-0.005558</v>
      </c>
      <c r="JO28" s="6">
        <v>5956664.26</v>
      </c>
      <c r="JP28" s="6">
        <v>4686411.04</v>
      </c>
      <c r="JQ28" s="6">
        <v>1200770.22</v>
      </c>
      <c r="JR28" s="6">
        <v>7897705.21</v>
      </c>
      <c r="JS28" s="6">
        <v>4079026.24</v>
      </c>
      <c r="JT28" s="6">
        <v>-132885.93</v>
      </c>
      <c r="JU28" s="6">
        <v>-1.97729941979277</v>
      </c>
      <c r="JV28" s="6">
        <v>-0.833985794529268</v>
      </c>
      <c r="JW28" s="6">
        <v>1.033763260352</v>
      </c>
      <c r="JX28" s="6">
        <v>5.4702131491228</v>
      </c>
      <c r="JY28" s="6">
        <v>0.360598417755619</v>
      </c>
      <c r="JZ28" s="6">
        <v>2.07868441960534</v>
      </c>
      <c r="KA28" s="6">
        <v>-1.05766802908299</v>
      </c>
      <c r="KB28" s="6">
        <v>1.67758394719969</v>
      </c>
      <c r="KC28" s="6">
        <v>1.59017275084396</v>
      </c>
      <c r="KD28" s="6">
        <v>5.03732778034541</v>
      </c>
      <c r="KE28" s="6">
        <v>-1.11544246344612</v>
      </c>
      <c r="KF28" s="6">
        <v>4.6653768921e-8</v>
      </c>
    </row>
    <row r="29" s="1" customFormat="1" ht="14.55" customHeight="1" spans="1:292">
      <c r="A29" s="5" t="s">
        <v>62</v>
      </c>
      <c r="B29" s="5" t="s">
        <v>97</v>
      </c>
      <c r="C29" s="5" t="s">
        <v>97</v>
      </c>
      <c r="D29" s="5" t="s">
        <v>97</v>
      </c>
      <c r="E29" s="5" t="s">
        <v>138</v>
      </c>
      <c r="F29" s="6">
        <v>59903</v>
      </c>
      <c r="G29" s="6">
        <v>52283</v>
      </c>
      <c r="H29" s="6">
        <v>4006</v>
      </c>
      <c r="I29" s="6">
        <v>3614</v>
      </c>
      <c r="J29" s="6">
        <v>32379</v>
      </c>
      <c r="K29" s="6">
        <v>31321</v>
      </c>
      <c r="L29" s="6">
        <v>1058</v>
      </c>
      <c r="M29" s="6">
        <v>20784</v>
      </c>
      <c r="N29" s="6">
        <v>59162</v>
      </c>
      <c r="O29" s="6">
        <v>752</v>
      </c>
      <c r="P29" s="6">
        <v>9260</v>
      </c>
      <c r="Q29" s="6">
        <v>0</v>
      </c>
      <c r="R29" s="6">
        <v>56715</v>
      </c>
      <c r="S29" s="6">
        <v>53418</v>
      </c>
      <c r="T29" s="6">
        <v>47452</v>
      </c>
      <c r="U29" s="6">
        <v>3300</v>
      </c>
      <c r="V29" s="6">
        <v>2666</v>
      </c>
      <c r="W29" s="6">
        <v>1011</v>
      </c>
      <c r="X29" s="6">
        <v>2286</v>
      </c>
      <c r="Y29" s="6">
        <v>3353</v>
      </c>
      <c r="Z29" s="6">
        <v>42429</v>
      </c>
      <c r="AA29" s="6">
        <v>40510</v>
      </c>
      <c r="AB29" s="6">
        <v>38013</v>
      </c>
      <c r="AC29" s="6">
        <v>174</v>
      </c>
      <c r="AD29" s="6">
        <v>2323</v>
      </c>
      <c r="AE29" s="6">
        <v>527</v>
      </c>
      <c r="AF29" s="6">
        <v>1392</v>
      </c>
      <c r="AG29" s="6">
        <v>2207</v>
      </c>
      <c r="AH29" s="6">
        <v>28687</v>
      </c>
      <c r="AI29" s="6">
        <v>26781</v>
      </c>
      <c r="AJ29" s="6">
        <v>25955</v>
      </c>
      <c r="AK29" s="6">
        <v>826</v>
      </c>
      <c r="AL29" s="6">
        <v>400</v>
      </c>
      <c r="AM29" s="6">
        <v>1506</v>
      </c>
      <c r="AN29" s="6">
        <v>1268</v>
      </c>
      <c r="AO29" s="6">
        <v>19451</v>
      </c>
      <c r="AP29" s="6">
        <v>17856</v>
      </c>
      <c r="AQ29" s="6">
        <v>17825</v>
      </c>
      <c r="AR29" s="6">
        <v>31</v>
      </c>
      <c r="AS29" s="6">
        <v>311</v>
      </c>
      <c r="AT29" s="6">
        <v>1284</v>
      </c>
      <c r="AU29" s="6">
        <v>955</v>
      </c>
      <c r="AV29" s="6">
        <v>16086</v>
      </c>
      <c r="AW29" s="6">
        <v>14841</v>
      </c>
      <c r="AX29" s="6">
        <v>255</v>
      </c>
      <c r="AY29" s="6">
        <v>990</v>
      </c>
      <c r="AZ29" s="6">
        <v>1</v>
      </c>
      <c r="BA29" s="6">
        <v>9847</v>
      </c>
      <c r="BB29" s="6">
        <v>8888</v>
      </c>
      <c r="BC29" s="6">
        <v>127</v>
      </c>
      <c r="BD29" s="6">
        <v>832</v>
      </c>
      <c r="BE29" s="6">
        <v>0</v>
      </c>
      <c r="BF29" s="6">
        <v>56810</v>
      </c>
      <c r="BG29" s="6">
        <v>56102</v>
      </c>
      <c r="BH29" s="6">
        <v>442</v>
      </c>
      <c r="BI29" s="6">
        <v>266</v>
      </c>
      <c r="BJ29" s="6">
        <v>2288</v>
      </c>
      <c r="BK29" s="6">
        <v>762</v>
      </c>
      <c r="BL29" s="6">
        <v>610</v>
      </c>
      <c r="BM29" s="6">
        <v>10</v>
      </c>
      <c r="BN29" s="6">
        <v>142</v>
      </c>
      <c r="BO29" s="6">
        <v>0</v>
      </c>
      <c r="BP29" s="6">
        <v>9326</v>
      </c>
      <c r="BQ29" s="6">
        <v>8019</v>
      </c>
      <c r="BR29" s="6">
        <v>597</v>
      </c>
      <c r="BS29" s="6">
        <v>710</v>
      </c>
      <c r="BT29" s="6">
        <v>6</v>
      </c>
      <c r="BU29" s="6">
        <v>316</v>
      </c>
      <c r="BV29" s="6">
        <v>0</v>
      </c>
      <c r="BW29" s="6">
        <v>316</v>
      </c>
      <c r="BX29" s="6">
        <v>0</v>
      </c>
      <c r="BY29" s="6">
        <v>0</v>
      </c>
      <c r="BZ29" s="6">
        <v>94.6780628683038</v>
      </c>
      <c r="CA29" s="6">
        <v>-1.23918776273079</v>
      </c>
      <c r="CB29" s="6">
        <v>1.45735605896199</v>
      </c>
      <c r="CC29" s="6">
        <v>1.68772849439928</v>
      </c>
      <c r="CD29" s="6">
        <v>3.81616947398294</v>
      </c>
      <c r="CE29" s="6">
        <v>90.759902836486</v>
      </c>
      <c r="CF29" s="6">
        <v>82.3764353469795</v>
      </c>
      <c r="CG29" s="6">
        <v>73.7686773657997</v>
      </c>
      <c r="CH29" s="6">
        <v>70.8295077041217</v>
      </c>
      <c r="CI29" s="6">
        <v>-0.472982896552621</v>
      </c>
      <c r="CJ29" s="6">
        <v>-0.238719262808207</v>
      </c>
      <c r="CK29" s="6">
        <v>0.879755604894579</v>
      </c>
      <c r="CL29" s="6">
        <v>2.3237567400631</v>
      </c>
      <c r="CM29" s="6">
        <v>72.7062333837003</v>
      </c>
      <c r="CN29" s="6">
        <v>4.34348477284074</v>
      </c>
      <c r="CO29" s="6">
        <v>64.2778085224128</v>
      </c>
      <c r="CP29" s="6">
        <v>88.5975477933228</v>
      </c>
      <c r="CQ29" s="6">
        <v>-11.8063322163427</v>
      </c>
      <c r="CR29" s="6">
        <v>0.333549522838872</v>
      </c>
      <c r="CS29" s="6">
        <v>1.23536860310695</v>
      </c>
      <c r="CT29" s="6">
        <v>4.65116279069767</v>
      </c>
      <c r="CU29" s="6">
        <v>82.8677245298681</v>
      </c>
      <c r="CV29" s="6">
        <v>78.0718336483932</v>
      </c>
      <c r="CW29" s="6">
        <v>60.0728867475833</v>
      </c>
      <c r="CX29" s="6">
        <v>-10.2781781838952</v>
      </c>
      <c r="CY29" s="6">
        <v>-1.94879397140122</v>
      </c>
      <c r="CZ29" s="6">
        <v>0.960499088915655</v>
      </c>
      <c r="DA29" s="6">
        <v>3.96553321597332</v>
      </c>
      <c r="DB29" s="6">
        <v>56.9106988921171</v>
      </c>
      <c r="DC29" s="6">
        <v>2.93005671077505</v>
      </c>
      <c r="DD29" s="6">
        <v>77.3960739030023</v>
      </c>
      <c r="DE29" s="6">
        <v>-21.8754558844441</v>
      </c>
      <c r="DF29" s="6">
        <v>-2.68956889915319</v>
      </c>
      <c r="DG29" s="6">
        <v>1.22690531177829</v>
      </c>
      <c r="DH29" s="6">
        <v>4.76327944572748</v>
      </c>
      <c r="DI29" s="6">
        <v>61.2147208752953</v>
      </c>
      <c r="DJ29" s="6">
        <v>9.03840402768773</v>
      </c>
      <c r="DK29" s="6">
        <v>0.830221025490541</v>
      </c>
      <c r="DL29" s="6">
        <v>0.789506403083427</v>
      </c>
      <c r="DM29" s="6">
        <v>5.1721994280741</v>
      </c>
      <c r="DN29" s="6">
        <v>96.0244751698726</v>
      </c>
      <c r="DO29" s="6">
        <v>-1.9706625934986</v>
      </c>
      <c r="DP29" s="6">
        <v>-0.228187011933334</v>
      </c>
      <c r="DQ29" s="6">
        <v>0.747101179811365</v>
      </c>
      <c r="DR29" s="6">
        <v>0.449612927216795</v>
      </c>
      <c r="DS29" s="6">
        <v>101.329787234043</v>
      </c>
      <c r="DT29" s="6">
        <v>-11.5228773427599</v>
      </c>
      <c r="DU29" s="6">
        <v>1.59574468085106</v>
      </c>
      <c r="DV29" s="6">
        <v>1.32978723404255</v>
      </c>
      <c r="DW29" s="6">
        <v>18.8829787234043</v>
      </c>
      <c r="DX29" s="6">
        <v>100.712742980562</v>
      </c>
      <c r="DY29" s="6">
        <v>-4.4500240591129</v>
      </c>
      <c r="DZ29" s="6">
        <v>-3.58531317494599</v>
      </c>
      <c r="EA29" s="6">
        <v>6.44708423326134</v>
      </c>
      <c r="EB29" s="6">
        <v>7.66738660907127</v>
      </c>
      <c r="EC29" s="6" t="e">
        <v>#DIV/0!</v>
      </c>
      <c r="ED29" s="6" t="e">
        <v>#DIV/0!</v>
      </c>
      <c r="EE29" s="6" t="e">
        <v>#NUM!</v>
      </c>
      <c r="EF29" s="6" t="e">
        <v>#DIV/0!</v>
      </c>
      <c r="EG29" s="6">
        <v>0</v>
      </c>
      <c r="EH29" s="6">
        <v>33705066.97596</v>
      </c>
      <c r="EI29" s="6">
        <v>27783755.845926</v>
      </c>
      <c r="EJ29" s="6">
        <v>3600570.972732</v>
      </c>
      <c r="EK29" s="6">
        <v>880047.769065</v>
      </c>
      <c r="EL29" s="6">
        <v>1440692.388237</v>
      </c>
      <c r="EM29" s="6">
        <v>13456038.696003</v>
      </c>
      <c r="EN29" s="6">
        <v>12988408.233947</v>
      </c>
      <c r="EO29" s="6">
        <v>230521.183227</v>
      </c>
      <c r="EP29" s="6">
        <v>237109.278829</v>
      </c>
      <c r="EQ29" s="6">
        <v>1692998.530148</v>
      </c>
      <c r="ER29" s="6">
        <v>21273904.953628</v>
      </c>
      <c r="ES29" s="6">
        <v>8202601.168487</v>
      </c>
      <c r="ET29" s="6">
        <v>28429895.519113</v>
      </c>
      <c r="EU29" s="6">
        <v>10888657.409823</v>
      </c>
      <c r="EV29" s="6">
        <v>70128009.155739</v>
      </c>
      <c r="EW29" s="6">
        <v>36632496.6876</v>
      </c>
      <c r="EX29" s="6">
        <v>10888657.409823</v>
      </c>
      <c r="EY29" s="6">
        <v>89135280.503162</v>
      </c>
      <c r="EZ29" s="6">
        <v>28513882.75</v>
      </c>
      <c r="FA29" s="6">
        <v>0</v>
      </c>
      <c r="FB29" s="6">
        <v>23470067.67</v>
      </c>
      <c r="FC29" s="6">
        <v>21797595.63</v>
      </c>
      <c r="FD29" s="6">
        <v>18660182.07</v>
      </c>
      <c r="FE29" s="6">
        <v>2397945.04</v>
      </c>
      <c r="FF29" s="6">
        <v>739468.52</v>
      </c>
      <c r="FG29" s="6">
        <v>1025215.93</v>
      </c>
      <c r="FH29" s="6">
        <v>647256.11</v>
      </c>
      <c r="FI29" s="6">
        <v>6166391.98</v>
      </c>
      <c r="FJ29" s="6">
        <v>9547810.3</v>
      </c>
      <c r="FK29" s="6">
        <v>9044788.03</v>
      </c>
      <c r="FL29" s="6">
        <v>8897195.68</v>
      </c>
      <c r="FM29" s="6">
        <v>147592.35</v>
      </c>
      <c r="FN29" s="6">
        <v>178748.67</v>
      </c>
      <c r="FO29" s="6">
        <v>324273.6</v>
      </c>
      <c r="FP29" s="6">
        <v>2203982.78</v>
      </c>
      <c r="FQ29" s="6">
        <v>1145426.38</v>
      </c>
      <c r="FR29" s="6">
        <v>1101558.58</v>
      </c>
      <c r="FS29" s="6">
        <v>24297.56</v>
      </c>
      <c r="FT29" s="6">
        <v>19570.24</v>
      </c>
      <c r="FU29" s="6">
        <v>7547.2</v>
      </c>
      <c r="FV29" s="6">
        <v>13025467.24</v>
      </c>
      <c r="FW29" s="6">
        <v>12906355.94</v>
      </c>
      <c r="FX29" s="6">
        <v>82492.7</v>
      </c>
      <c r="FY29" s="6">
        <v>36618.6</v>
      </c>
      <c r="FZ29" s="6">
        <v>3725632.62</v>
      </c>
      <c r="GA29" s="6">
        <v>5876031.23</v>
      </c>
      <c r="GB29" s="6">
        <v>5474592.64</v>
      </c>
      <c r="GC29" s="6">
        <v>178138.31</v>
      </c>
      <c r="GD29" s="6">
        <v>223300.28</v>
      </c>
      <c r="GE29" s="6">
        <v>-4246.8</v>
      </c>
      <c r="GF29" s="6">
        <v>20864464.19</v>
      </c>
      <c r="GG29" s="6">
        <v>18553046.76</v>
      </c>
      <c r="GH29" s="6">
        <v>1225854.59</v>
      </c>
      <c r="GI29" s="6">
        <v>1085562.84</v>
      </c>
      <c r="GJ29" s="6">
        <v>761520.96</v>
      </c>
      <c r="GK29" s="6">
        <v>8334103.75</v>
      </c>
      <c r="GL29" s="6">
        <v>0</v>
      </c>
      <c r="GM29" s="6">
        <v>7456193.85</v>
      </c>
      <c r="GN29" s="6">
        <v>877909.9</v>
      </c>
      <c r="GO29" s="6">
        <v>4512847.69</v>
      </c>
      <c r="GP29" s="6">
        <v>47188771.59</v>
      </c>
      <c r="GQ29" s="6">
        <v>26740495.42</v>
      </c>
      <c r="GR29" s="6">
        <v>8334103.75</v>
      </c>
      <c r="GS29" s="6">
        <v>54899208.57</v>
      </c>
      <c r="GT29" s="6">
        <v>27364328.56</v>
      </c>
      <c r="GU29" s="6">
        <v>-166.37</v>
      </c>
      <c r="GV29" s="6">
        <v>104.450471883382</v>
      </c>
      <c r="GW29" s="6">
        <v>-1.22479015777697</v>
      </c>
      <c r="GX29" s="6">
        <v>-0.412550054394001</v>
      </c>
      <c r="GY29" s="6">
        <v>4.56258964296628</v>
      </c>
      <c r="GZ29" s="6">
        <v>2.88052881097219</v>
      </c>
      <c r="HA29" s="6">
        <v>100.74330216627</v>
      </c>
      <c r="HB29" s="6">
        <v>99.8985324061192</v>
      </c>
      <c r="HC29" s="6">
        <v>126.038928679799</v>
      </c>
      <c r="HD29" s="6">
        <v>27.4427224149925</v>
      </c>
      <c r="HE29" s="6">
        <v>106.433369980232</v>
      </c>
      <c r="HF29" s="6">
        <v>6.72524952269747</v>
      </c>
      <c r="HG29" s="6">
        <v>-0.198931831948925</v>
      </c>
      <c r="HH29" s="6">
        <v>1.99258497286905</v>
      </c>
      <c r="HI29" s="6">
        <v>3.61481124563416</v>
      </c>
      <c r="HJ29" s="6">
        <v>102.751571090281</v>
      </c>
      <c r="HK29" s="6">
        <v>96.0382563983255</v>
      </c>
      <c r="HL29" s="6">
        <v>24.5687029049791</v>
      </c>
      <c r="HM29" s="6">
        <v>101.485000689859</v>
      </c>
      <c r="HN29" s="6">
        <v>-1.406602815562</v>
      </c>
      <c r="HO29" s="6">
        <v>1.32321227022894</v>
      </c>
      <c r="HP29" s="6">
        <v>2.15276855537576</v>
      </c>
      <c r="HQ29" s="6">
        <v>1.7339270812854</v>
      </c>
      <c r="HR29" s="6">
        <v>0.668683392123816</v>
      </c>
      <c r="HS29" s="6">
        <v>91.8411589343309</v>
      </c>
      <c r="HT29" s="6">
        <v>-2.37582155336136</v>
      </c>
      <c r="HU29" s="6">
        <v>-0.616121059378327</v>
      </c>
      <c r="HV29" s="6">
        <v>0.581647094267467</v>
      </c>
      <c r="HW29" s="6">
        <v>0.258193783039501</v>
      </c>
      <c r="HX29" s="6">
        <v>26.2690321414027</v>
      </c>
      <c r="HY29" s="6">
        <v>107.45428997404</v>
      </c>
      <c r="HZ29" s="6">
        <v>5.77395323058987</v>
      </c>
      <c r="IA29" s="6">
        <v>-0.251408132676212</v>
      </c>
      <c r="IB29" s="6">
        <v>3.25759426200759</v>
      </c>
      <c r="IC29" s="6">
        <v>4.08346588015059</v>
      </c>
      <c r="ID29" s="6">
        <v>-0.0776607306530181</v>
      </c>
      <c r="IE29" s="6">
        <v>110.083754138174</v>
      </c>
      <c r="IF29" s="6">
        <v>3.18706765756187</v>
      </c>
      <c r="IG29" s="6">
        <v>-3.11453063847276</v>
      </c>
      <c r="IH29" s="6">
        <v>6.46777573897102</v>
      </c>
      <c r="II29" s="6">
        <v>5.72757736272822</v>
      </c>
      <c r="IJ29" s="6">
        <v>4.01788827972323</v>
      </c>
      <c r="IK29" s="6">
        <v>114.80897189145</v>
      </c>
      <c r="IL29" s="6">
        <v>29.4946145886298</v>
      </c>
      <c r="IM29" s="6">
        <v>-0.20658491423502</v>
      </c>
      <c r="IN29" s="6">
        <v>102.71505800991</v>
      </c>
      <c r="IO29" s="6">
        <v>12.0939138815408</v>
      </c>
      <c r="IP29" s="6">
        <v>62.1681009900563</v>
      </c>
      <c r="IQ29" s="6">
        <v>100.934217635932</v>
      </c>
      <c r="IR29" s="6">
        <v>0.14266310515334</v>
      </c>
      <c r="IS29" s="6">
        <v>-0.391412310172234</v>
      </c>
      <c r="IT29" s="6">
        <v>109.494975109292</v>
      </c>
      <c r="IU29" s="6">
        <v>3.84950704298226</v>
      </c>
      <c r="IV29" s="6">
        <v>-2.47343177448194</v>
      </c>
      <c r="IW29" s="6">
        <v>114.80897189145</v>
      </c>
      <c r="IX29" s="6">
        <v>29.4946145886298</v>
      </c>
      <c r="IY29" s="6">
        <v>-0.20658491423502</v>
      </c>
      <c r="IZ29" s="6">
        <v>92.3863282755684</v>
      </c>
      <c r="JA29" s="6">
        <v>-7.48360898124339</v>
      </c>
      <c r="JB29" s="6">
        <v>-1.29171425236274</v>
      </c>
      <c r="JC29" s="6">
        <v>143.952660533403</v>
      </c>
      <c r="JD29" s="6">
        <v>41.333847547052</v>
      </c>
      <c r="JE29" s="6">
        <v>-0.181407513553316</v>
      </c>
      <c r="JF29" s="6" t="e">
        <v>#DIV/0!</v>
      </c>
      <c r="JG29" s="6" t="e">
        <v>#DIV/0!</v>
      </c>
      <c r="JH29" s="6" t="e">
        <v>#NUM!</v>
      </c>
      <c r="JI29" s="6">
        <v>5989766.799323</v>
      </c>
      <c r="JJ29" s="6">
        <v>3052851.35661</v>
      </c>
      <c r="JK29" s="6">
        <v>908176.730569</v>
      </c>
      <c r="JL29" s="6">
        <v>7569702.65227</v>
      </c>
      <c r="JM29" s="6">
        <v>2381092.235484</v>
      </c>
      <c r="JN29" s="6">
        <v>-0.00125199742615223</v>
      </c>
      <c r="JO29" s="6">
        <v>5738477.48</v>
      </c>
      <c r="JP29" s="6">
        <v>2814015.37</v>
      </c>
      <c r="JQ29" s="6">
        <v>1028641.28</v>
      </c>
      <c r="JR29" s="6">
        <v>6190766.75</v>
      </c>
      <c r="JS29" s="6">
        <v>3608971.07</v>
      </c>
      <c r="JT29" s="6">
        <v>-218603.69</v>
      </c>
      <c r="JU29" s="6">
        <v>-2.52531905429853</v>
      </c>
      <c r="JV29" s="6">
        <v>-0.916211735975674</v>
      </c>
      <c r="JW29" s="6">
        <v>-2.40016992947945</v>
      </c>
      <c r="JX29" s="6">
        <v>2.91143144034639</v>
      </c>
      <c r="JY29" s="6">
        <v>1.21060227655187</v>
      </c>
      <c r="JZ29" s="6">
        <v>1.34246801089435</v>
      </c>
      <c r="KA29" s="6">
        <v>-13.8575452312909</v>
      </c>
      <c r="KB29" s="6">
        <v>-7.10799075940593</v>
      </c>
      <c r="KC29" s="6">
        <v>12.3395050196601</v>
      </c>
      <c r="KD29" s="6">
        <v>10.4458874529309</v>
      </c>
      <c r="KE29" s="6">
        <v>-2.19684649559537</v>
      </c>
      <c r="KF29" s="6">
        <v>-0.000208978259925564</v>
      </c>
    </row>
    <row r="30" s="1" customFormat="1" ht="14.55" customHeight="1" spans="1:292">
      <c r="A30" s="5" t="s">
        <v>63</v>
      </c>
      <c r="B30" s="5" t="s">
        <v>97</v>
      </c>
      <c r="C30" s="5" t="s">
        <v>97</v>
      </c>
      <c r="D30" s="5" t="s">
        <v>97</v>
      </c>
      <c r="E30" s="5" t="s">
        <v>138</v>
      </c>
      <c r="F30" s="6">
        <v>55214</v>
      </c>
      <c r="G30" s="6">
        <v>47257</v>
      </c>
      <c r="H30" s="6">
        <v>2949</v>
      </c>
      <c r="I30" s="6">
        <v>5008</v>
      </c>
      <c r="J30" s="6">
        <v>46374</v>
      </c>
      <c r="K30" s="6">
        <v>43777</v>
      </c>
      <c r="L30" s="6">
        <v>2597</v>
      </c>
      <c r="M30" s="6">
        <v>11129</v>
      </c>
      <c r="N30" s="6">
        <v>30235</v>
      </c>
      <c r="O30" s="6">
        <v>845</v>
      </c>
      <c r="P30" s="6">
        <v>7874</v>
      </c>
      <c r="Q30" s="6">
        <v>0</v>
      </c>
      <c r="R30" s="6">
        <v>52219</v>
      </c>
      <c r="S30" s="6">
        <v>49546</v>
      </c>
      <c r="T30" s="6">
        <v>43034</v>
      </c>
      <c r="U30" s="6">
        <v>2383</v>
      </c>
      <c r="V30" s="6">
        <v>4129</v>
      </c>
      <c r="W30" s="6">
        <v>977</v>
      </c>
      <c r="X30" s="6">
        <v>1696</v>
      </c>
      <c r="Y30" s="6">
        <v>1349</v>
      </c>
      <c r="Z30" s="6">
        <v>38967</v>
      </c>
      <c r="AA30" s="6">
        <v>37317</v>
      </c>
      <c r="AB30" s="6">
        <v>33698</v>
      </c>
      <c r="AC30" s="6">
        <v>119</v>
      </c>
      <c r="AD30" s="6">
        <v>3500</v>
      </c>
      <c r="AE30" s="6">
        <v>551</v>
      </c>
      <c r="AF30" s="6">
        <v>1099</v>
      </c>
      <c r="AG30" s="6">
        <v>913</v>
      </c>
      <c r="AH30" s="6">
        <v>43041</v>
      </c>
      <c r="AI30" s="6">
        <v>40562</v>
      </c>
      <c r="AJ30" s="6">
        <v>38937</v>
      </c>
      <c r="AK30" s="6">
        <v>1625</v>
      </c>
      <c r="AL30" s="6">
        <v>216</v>
      </c>
      <c r="AM30" s="6">
        <v>2263</v>
      </c>
      <c r="AN30" s="6">
        <v>492</v>
      </c>
      <c r="AO30" s="6">
        <v>15394</v>
      </c>
      <c r="AP30" s="6">
        <v>14324</v>
      </c>
      <c r="AQ30" s="6">
        <v>14299</v>
      </c>
      <c r="AR30" s="6">
        <v>25</v>
      </c>
      <c r="AS30" s="6">
        <v>174</v>
      </c>
      <c r="AT30" s="6">
        <v>896</v>
      </c>
      <c r="AU30" s="6">
        <v>404</v>
      </c>
      <c r="AV30" s="6">
        <v>10200</v>
      </c>
      <c r="AW30" s="6">
        <v>9140</v>
      </c>
      <c r="AX30" s="6">
        <v>237</v>
      </c>
      <c r="AY30" s="6">
        <v>823</v>
      </c>
      <c r="AZ30" s="6">
        <v>0</v>
      </c>
      <c r="BA30" s="6">
        <v>5606</v>
      </c>
      <c r="BB30" s="6">
        <v>4852</v>
      </c>
      <c r="BC30" s="6">
        <v>202</v>
      </c>
      <c r="BD30" s="6">
        <v>552</v>
      </c>
      <c r="BE30" s="6">
        <v>0</v>
      </c>
      <c r="BF30" s="6">
        <v>28982</v>
      </c>
      <c r="BG30" s="6">
        <v>28351</v>
      </c>
      <c r="BH30" s="6">
        <v>233</v>
      </c>
      <c r="BI30" s="6">
        <v>398</v>
      </c>
      <c r="BJ30" s="6">
        <v>1253</v>
      </c>
      <c r="BK30" s="6">
        <v>1152</v>
      </c>
      <c r="BL30" s="6">
        <v>755</v>
      </c>
      <c r="BM30" s="6">
        <v>9</v>
      </c>
      <c r="BN30" s="6">
        <v>388</v>
      </c>
      <c r="BO30" s="6">
        <v>3</v>
      </c>
      <c r="BP30" s="6">
        <v>6636</v>
      </c>
      <c r="BQ30" s="6">
        <v>5956</v>
      </c>
      <c r="BR30" s="6">
        <v>115</v>
      </c>
      <c r="BS30" s="6">
        <v>565</v>
      </c>
      <c r="BT30" s="6">
        <v>2</v>
      </c>
      <c r="BU30" s="6">
        <v>160</v>
      </c>
      <c r="BV30" s="6">
        <v>0</v>
      </c>
      <c r="BW30" s="6">
        <v>160</v>
      </c>
      <c r="BX30" s="6">
        <v>0</v>
      </c>
      <c r="BY30" s="6">
        <v>0</v>
      </c>
      <c r="BZ30" s="6">
        <v>94.5756511029811</v>
      </c>
      <c r="CA30" s="6">
        <v>0.763615287058317</v>
      </c>
      <c r="CB30" s="6">
        <v>-0.612163581700298</v>
      </c>
      <c r="CC30" s="6">
        <v>1.76947875538813</v>
      </c>
      <c r="CD30" s="6">
        <v>3.07168471764408</v>
      </c>
      <c r="CE30" s="6">
        <v>91.0637577501746</v>
      </c>
      <c r="CF30" s="6">
        <v>80.8070532383859</v>
      </c>
      <c r="CG30" s="6">
        <v>82.4480830670927</v>
      </c>
      <c r="CH30" s="6">
        <v>70.5744919766726</v>
      </c>
      <c r="CI30" s="6">
        <v>0.067099736789189</v>
      </c>
      <c r="CJ30" s="6">
        <v>-0.642952874271019</v>
      </c>
      <c r="CK30" s="6">
        <v>0.997935306262904</v>
      </c>
      <c r="CL30" s="6">
        <v>1.9904372079545</v>
      </c>
      <c r="CM30" s="6">
        <v>71.3079543771293</v>
      </c>
      <c r="CN30" s="6">
        <v>4.03526619192947</v>
      </c>
      <c r="CO30" s="6">
        <v>69.888178913738</v>
      </c>
      <c r="CP30" s="6">
        <v>92.8127830249709</v>
      </c>
      <c r="CQ30" s="6">
        <v>-11.9799843813928</v>
      </c>
      <c r="CR30" s="6">
        <v>0.933712856341917</v>
      </c>
      <c r="CS30" s="6">
        <v>0.465778237805667</v>
      </c>
      <c r="CT30" s="6">
        <v>4.87988959330659</v>
      </c>
      <c r="CU30" s="6">
        <v>88.9439660095484</v>
      </c>
      <c r="CV30" s="6">
        <v>62.5721986907971</v>
      </c>
      <c r="CW30" s="6">
        <v>33.1953249665761</v>
      </c>
      <c r="CX30" s="6">
        <v>-0.598264325428127</v>
      </c>
      <c r="CY30" s="6">
        <v>-2.49061974382196</v>
      </c>
      <c r="CZ30" s="6">
        <v>0.375210247121232</v>
      </c>
      <c r="DA30" s="6">
        <v>1.93211713460129</v>
      </c>
      <c r="DB30" s="6">
        <v>32.6632706672454</v>
      </c>
      <c r="DC30" s="6">
        <v>0.962649210627647</v>
      </c>
      <c r="DD30" s="6">
        <v>91.6524395722886</v>
      </c>
      <c r="DE30" s="6">
        <v>-0.982558397666722</v>
      </c>
      <c r="DF30" s="6">
        <v>-2.23739778955881</v>
      </c>
      <c r="DG30" s="6">
        <v>2.129571390062</v>
      </c>
      <c r="DH30" s="6">
        <v>7.3950938988229</v>
      </c>
      <c r="DI30" s="6">
        <v>54.9607843137255</v>
      </c>
      <c r="DJ30" s="6">
        <v>5.30264967136925</v>
      </c>
      <c r="DK30" s="6">
        <v>1.00346782410925</v>
      </c>
      <c r="DL30" s="6">
        <v>1.98039215686274</v>
      </c>
      <c r="DM30" s="6">
        <v>5.41176470588235</v>
      </c>
      <c r="DN30" s="6">
        <v>95.8557962626096</v>
      </c>
      <c r="DO30" s="6">
        <v>-0.522309449080138</v>
      </c>
      <c r="DP30" s="6">
        <v>-0.195138085000823</v>
      </c>
      <c r="DQ30" s="6">
        <v>0.770630064494791</v>
      </c>
      <c r="DR30" s="6">
        <v>1.3163552174632</v>
      </c>
      <c r="DS30" s="6">
        <v>136.331360946746</v>
      </c>
      <c r="DT30" s="6">
        <v>39.1582160704205</v>
      </c>
      <c r="DU30" s="6">
        <v>11.1242603550296</v>
      </c>
      <c r="DV30" s="6">
        <v>1.06508875739645</v>
      </c>
      <c r="DW30" s="6">
        <v>45.9171597633136</v>
      </c>
      <c r="DX30" s="6">
        <v>84.2773685547371</v>
      </c>
      <c r="DY30" s="6">
        <v>-11.8854350384757</v>
      </c>
      <c r="DZ30" s="6">
        <v>0</v>
      </c>
      <c r="EA30" s="6">
        <v>1.46050292100584</v>
      </c>
      <c r="EB30" s="6">
        <v>7.1755143510287</v>
      </c>
      <c r="EC30" s="6" t="e">
        <v>#DIV/0!</v>
      </c>
      <c r="ED30" s="6" t="e">
        <v>#NUM!</v>
      </c>
      <c r="EE30" s="6" t="e">
        <v>#NUM!</v>
      </c>
      <c r="EF30" s="6" t="e">
        <v>#DIV/0!</v>
      </c>
      <c r="EG30" s="6">
        <v>0</v>
      </c>
      <c r="EH30" s="6">
        <v>23394627.8257</v>
      </c>
      <c r="EI30" s="6">
        <v>18882059.50596</v>
      </c>
      <c r="EJ30" s="6">
        <v>1820001.807379</v>
      </c>
      <c r="EK30" s="6">
        <v>1706431.066852</v>
      </c>
      <c r="EL30" s="6">
        <v>986135.445509</v>
      </c>
      <c r="EM30" s="6">
        <v>8849381.325481</v>
      </c>
      <c r="EN30" s="6">
        <v>8350465.15467</v>
      </c>
      <c r="EO30" s="6">
        <v>163753.743965</v>
      </c>
      <c r="EP30" s="6">
        <v>335162.426846</v>
      </c>
      <c r="EQ30" s="6">
        <v>1038672.113569</v>
      </c>
      <c r="ER30" s="6">
        <v>18320704.809397</v>
      </c>
      <c r="ES30" s="6">
        <v>13111068.836489</v>
      </c>
      <c r="ET30" s="6">
        <v>15390710.698642</v>
      </c>
      <c r="EU30" s="6">
        <v>7440503.134408</v>
      </c>
      <c r="EV30" s="6">
        <v>51603386.074147</v>
      </c>
      <c r="EW30" s="6">
        <v>28501779.535131</v>
      </c>
      <c r="EX30" s="6">
        <v>7440503.134408</v>
      </c>
      <c r="EY30" s="6">
        <v>65268762.203686</v>
      </c>
      <c r="EZ30" s="6">
        <v>22276924.89</v>
      </c>
      <c r="FA30" s="6">
        <v>-18.35</v>
      </c>
      <c r="FB30" s="6">
        <v>17752367.42</v>
      </c>
      <c r="FC30" s="6">
        <v>15034325.03</v>
      </c>
      <c r="FD30" s="6">
        <v>12634519.56</v>
      </c>
      <c r="FE30" s="6">
        <v>1152615.39</v>
      </c>
      <c r="FF30" s="6">
        <v>1247190.08</v>
      </c>
      <c r="FG30" s="6">
        <v>643445.64</v>
      </c>
      <c r="FH30" s="6">
        <v>2074596.75</v>
      </c>
      <c r="FI30" s="6">
        <v>3398735.84</v>
      </c>
      <c r="FJ30" s="6">
        <v>6326173.83</v>
      </c>
      <c r="FK30" s="6">
        <v>5790049.38</v>
      </c>
      <c r="FL30" s="6">
        <v>5703322.4</v>
      </c>
      <c r="FM30" s="6">
        <v>86726.98</v>
      </c>
      <c r="FN30" s="6">
        <v>288717.75</v>
      </c>
      <c r="FO30" s="6">
        <v>247406.7</v>
      </c>
      <c r="FP30" s="6">
        <v>1069488.8</v>
      </c>
      <c r="FQ30" s="6">
        <v>737856.88</v>
      </c>
      <c r="FR30" s="6">
        <v>667764.46</v>
      </c>
      <c r="FS30" s="6">
        <v>28535.65</v>
      </c>
      <c r="FT30" s="6">
        <v>41556.77</v>
      </c>
      <c r="FU30" s="6">
        <v>0</v>
      </c>
      <c r="FV30" s="6">
        <v>9529909.05</v>
      </c>
      <c r="FW30" s="6">
        <v>9438961.48</v>
      </c>
      <c r="FX30" s="6">
        <v>37760.32</v>
      </c>
      <c r="FY30" s="6">
        <v>53187.25</v>
      </c>
      <c r="FZ30" s="6">
        <v>5791411.1</v>
      </c>
      <c r="GA30" s="6">
        <v>8752450.27</v>
      </c>
      <c r="GB30" s="6">
        <v>8221177.84</v>
      </c>
      <c r="GC30" s="6">
        <v>200518.63</v>
      </c>
      <c r="GD30" s="6">
        <v>330753.8</v>
      </c>
      <c r="GE30" s="6">
        <v>540115.14</v>
      </c>
      <c r="GF30" s="6">
        <v>10569805.03</v>
      </c>
      <c r="GG30" s="6">
        <v>10197317.42</v>
      </c>
      <c r="GH30" s="6">
        <v>147716.76</v>
      </c>
      <c r="GI30" s="6">
        <v>224770.85</v>
      </c>
      <c r="GJ30" s="6">
        <v>146405.36</v>
      </c>
      <c r="GK30" s="6">
        <v>5586056.46</v>
      </c>
      <c r="GL30" s="6">
        <v>0</v>
      </c>
      <c r="GM30" s="6">
        <v>4917245.73</v>
      </c>
      <c r="GN30" s="6">
        <v>668810.73</v>
      </c>
      <c r="GO30" s="6">
        <v>2815770.69</v>
      </c>
      <c r="GP30" s="6">
        <v>34346307.18</v>
      </c>
      <c r="GQ30" s="6">
        <v>19322255.3</v>
      </c>
      <c r="GR30" s="6">
        <v>5586056.46</v>
      </c>
      <c r="GS30" s="6">
        <v>43426448.11</v>
      </c>
      <c r="GT30" s="6">
        <v>15828170.83</v>
      </c>
      <c r="GU30" s="6">
        <v>0</v>
      </c>
      <c r="GV30" s="6">
        <v>113.823358629144</v>
      </c>
      <c r="GW30" s="6">
        <v>9.84547057154339</v>
      </c>
      <c r="GX30" s="6">
        <v>3.03966995395388</v>
      </c>
      <c r="GY30" s="6">
        <v>4.12559869381517</v>
      </c>
      <c r="GZ30" s="6">
        <v>13.3017509326712</v>
      </c>
      <c r="HA30" s="6">
        <v>100.369238503978</v>
      </c>
      <c r="HB30" s="6">
        <v>94.9956795641778</v>
      </c>
      <c r="HC30" s="6">
        <v>109.631449892154</v>
      </c>
      <c r="HD30" s="6">
        <v>21.7917711620935</v>
      </c>
      <c r="HE30" s="6">
        <v>107.230781407018</v>
      </c>
      <c r="HF30" s="6">
        <v>14.3900100401539</v>
      </c>
      <c r="HG30" s="6">
        <v>-0.788592440263766</v>
      </c>
      <c r="HH30" s="6">
        <v>4.89386330039813</v>
      </c>
      <c r="HI30" s="6">
        <v>4.1936270610401</v>
      </c>
      <c r="HJ30" s="6">
        <v>102.449186261386</v>
      </c>
      <c r="HK30" s="6">
        <v>79.4427454604061</v>
      </c>
      <c r="HL30" s="6">
        <v>18.1281960963842</v>
      </c>
      <c r="HM30" s="6">
        <v>106.557719759796</v>
      </c>
      <c r="HN30" s="6">
        <v>0.535142506343456</v>
      </c>
      <c r="HO30" s="6">
        <v>0.121622322035431</v>
      </c>
      <c r="HP30" s="6">
        <v>4.12098047505311</v>
      </c>
      <c r="HQ30" s="6">
        <v>6.00142760989405</v>
      </c>
      <c r="HR30" s="6">
        <v>0</v>
      </c>
      <c r="HS30" s="6">
        <v>78.0257294886817</v>
      </c>
      <c r="HT30" s="6">
        <v>-28.801276787733</v>
      </c>
      <c r="HU30" s="6">
        <v>-4.00626718587558</v>
      </c>
      <c r="HV30" s="6">
        <v>0.309161031681206</v>
      </c>
      <c r="HW30" s="6">
        <v>0.435468372150612</v>
      </c>
      <c r="HX30" s="6">
        <v>47.416934776135</v>
      </c>
      <c r="HY30" s="6">
        <v>100.134287819937</v>
      </c>
      <c r="HZ30" s="6">
        <v>6.82945408900406</v>
      </c>
      <c r="IA30" s="6">
        <v>-0.0330622767007238</v>
      </c>
      <c r="IB30" s="6">
        <v>2.29407646890629</v>
      </c>
      <c r="IC30" s="6">
        <v>3.78405991294344</v>
      </c>
      <c r="ID30" s="6">
        <v>6.17930330550347</v>
      </c>
      <c r="IE30" s="6">
        <v>103.01478505732</v>
      </c>
      <c r="IF30" s="6">
        <v>12.5524618082088</v>
      </c>
      <c r="IG30" s="6">
        <v>2.73438435196586</v>
      </c>
      <c r="IH30" s="6">
        <v>1.43966802013601</v>
      </c>
      <c r="II30" s="6">
        <v>2.19064786286801</v>
      </c>
      <c r="IJ30" s="6">
        <v>1.42688693394371</v>
      </c>
      <c r="IK30" s="6">
        <v>112.614490426751</v>
      </c>
      <c r="IL30" s="6">
        <v>-1.78095184455474</v>
      </c>
      <c r="IM30" s="6">
        <v>0.780319407857074</v>
      </c>
      <c r="IN30" s="6">
        <v>99.1313149360948</v>
      </c>
      <c r="IO30" s="6">
        <v>13.4831754906561</v>
      </c>
      <c r="IP30" s="6">
        <v>56.7657315466752</v>
      </c>
      <c r="IQ30" s="6">
        <v>99.8373647341157</v>
      </c>
      <c r="IR30" s="6">
        <v>-2.88786689373413</v>
      </c>
      <c r="IS30" s="6">
        <v>-0.177079866448217</v>
      </c>
      <c r="IT30" s="6">
        <v>101.689731036883</v>
      </c>
      <c r="IU30" s="6">
        <v>9.970272363518</v>
      </c>
      <c r="IV30" s="6">
        <v>1.46133460414102</v>
      </c>
      <c r="IW30" s="6">
        <v>112.614490426751</v>
      </c>
      <c r="IX30" s="6">
        <v>-1.78095184455474</v>
      </c>
      <c r="IY30" s="6">
        <v>0.780319407857074</v>
      </c>
      <c r="IZ30" s="6">
        <v>99.8022177312278</v>
      </c>
      <c r="JA30" s="6">
        <v>-0.523711440357948</v>
      </c>
      <c r="JB30" s="6">
        <v>-0.130397930229471</v>
      </c>
      <c r="JC30" s="6">
        <v>106.57779905546</v>
      </c>
      <c r="JD30" s="6">
        <v>8.9861837205368</v>
      </c>
      <c r="JE30" s="6">
        <v>2.10215713035966</v>
      </c>
      <c r="JF30" s="6">
        <v>0</v>
      </c>
      <c r="JG30" s="6" t="e">
        <v>#DIV/0!</v>
      </c>
      <c r="JH30" s="6">
        <v>0</v>
      </c>
      <c r="JI30" s="6">
        <v>4377083.025141</v>
      </c>
      <c r="JJ30" s="6">
        <v>2379082.600079</v>
      </c>
      <c r="JK30" s="6">
        <v>620337.088288</v>
      </c>
      <c r="JL30" s="6">
        <v>5515713.717253</v>
      </c>
      <c r="JM30" s="6">
        <v>1860790.53478</v>
      </c>
      <c r="JN30" s="6">
        <v>-1.53852500207722</v>
      </c>
      <c r="JO30" s="6">
        <v>4240101.92</v>
      </c>
      <c r="JP30" s="6">
        <v>2658243.96</v>
      </c>
      <c r="JQ30" s="6">
        <v>732007.15</v>
      </c>
      <c r="JR30" s="6">
        <v>5378659.03</v>
      </c>
      <c r="JS30" s="6">
        <v>2405157.52</v>
      </c>
      <c r="JT30" s="6">
        <v>-153463.52</v>
      </c>
      <c r="JU30" s="6">
        <v>-1.85699254051866</v>
      </c>
      <c r="JV30" s="6">
        <v>-1.13596687882394</v>
      </c>
      <c r="JW30" s="6">
        <v>3.78446766392147</v>
      </c>
      <c r="JX30" s="6">
        <v>0.490738142815445</v>
      </c>
      <c r="JY30" s="6">
        <v>1.51386186718955</v>
      </c>
      <c r="JZ30" s="6">
        <v>1.05632672064651</v>
      </c>
      <c r="KA30" s="6">
        <v>-1.85799006081871</v>
      </c>
      <c r="KB30" s="6">
        <v>-1.18494775773537</v>
      </c>
      <c r="KC30" s="6">
        <v>7.37974357717166</v>
      </c>
      <c r="KD30" s="6">
        <v>1.59602488526723</v>
      </c>
      <c r="KE30" s="6">
        <v>-2.08041652576058</v>
      </c>
      <c r="KF30" s="6">
        <v>2.08571061630581e-5</v>
      </c>
    </row>
  </sheetData>
  <mergeCells count="407">
    <mergeCell ref="A1:F1"/>
    <mergeCell ref="F2:EG2"/>
    <mergeCell ref="EH2:JH2"/>
    <mergeCell ref="JI2:KF2"/>
    <mergeCell ref="F3:Q3"/>
    <mergeCell ref="R3:BY3"/>
    <mergeCell ref="BZ3:EG3"/>
    <mergeCell ref="EH3:FA3"/>
    <mergeCell ref="FB3:GU3"/>
    <mergeCell ref="GV3:JH3"/>
    <mergeCell ref="JI3:JN3"/>
    <mergeCell ref="JO3:JT3"/>
    <mergeCell ref="JU3:KF3"/>
    <mergeCell ref="F4:I4"/>
    <mergeCell ref="J4:L4"/>
    <mergeCell ref="R4:AG4"/>
    <mergeCell ref="AH4:AU4"/>
    <mergeCell ref="AV4:BE4"/>
    <mergeCell ref="BF4:BJ4"/>
    <mergeCell ref="BK4:BO4"/>
    <mergeCell ref="BP4:BT4"/>
    <mergeCell ref="BU4:BY4"/>
    <mergeCell ref="BZ4:CO4"/>
    <mergeCell ref="CP4:DC4"/>
    <mergeCell ref="DD4:DM4"/>
    <mergeCell ref="DN4:DR4"/>
    <mergeCell ref="DS4:DW4"/>
    <mergeCell ref="DX4:EB4"/>
    <mergeCell ref="EC4:EG4"/>
    <mergeCell ref="EH4:EU4"/>
    <mergeCell ref="EV4:EX4"/>
    <mergeCell ref="EY4:FA4"/>
    <mergeCell ref="FB4:GO4"/>
    <mergeCell ref="GP4:GR4"/>
    <mergeCell ref="GS4:GU4"/>
    <mergeCell ref="GV4:IP4"/>
    <mergeCell ref="IQ4:IY4"/>
    <mergeCell ref="IZ4:JH4"/>
    <mergeCell ref="JI4:JK4"/>
    <mergeCell ref="JL4:JN4"/>
    <mergeCell ref="JO4:JQ4"/>
    <mergeCell ref="JR4:JT4"/>
    <mergeCell ref="JU4:JZ4"/>
    <mergeCell ref="KA4:KF4"/>
    <mergeCell ref="R5:Y5"/>
    <mergeCell ref="Z5:AG5"/>
    <mergeCell ref="AH5:AN5"/>
    <mergeCell ref="AO5:AU5"/>
    <mergeCell ref="AV5:AZ5"/>
    <mergeCell ref="BA5:BE5"/>
    <mergeCell ref="BF5:BJ5"/>
    <mergeCell ref="BK5:BO5"/>
    <mergeCell ref="BP5:BT5"/>
    <mergeCell ref="BU5:BY5"/>
    <mergeCell ref="BZ5:CG5"/>
    <mergeCell ref="CH5:CO5"/>
    <mergeCell ref="CP5:CV5"/>
    <mergeCell ref="CW5:DC5"/>
    <mergeCell ref="DD5:DH5"/>
    <mergeCell ref="DI5:DM5"/>
    <mergeCell ref="DN5:DR5"/>
    <mergeCell ref="DS5:DW5"/>
    <mergeCell ref="DX5:EB5"/>
    <mergeCell ref="EC5:EG5"/>
    <mergeCell ref="EH5:EL5"/>
    <mergeCell ref="EM5:EP5"/>
    <mergeCell ref="FB5:FI5"/>
    <mergeCell ref="FJ5:FP5"/>
    <mergeCell ref="FQ5:FU5"/>
    <mergeCell ref="FV5:FZ5"/>
    <mergeCell ref="GA5:GE5"/>
    <mergeCell ref="GF5:GJ5"/>
    <mergeCell ref="GK5:GO5"/>
    <mergeCell ref="GV5:HD5"/>
    <mergeCell ref="HM5:HR5"/>
    <mergeCell ref="HS5:HX5"/>
    <mergeCell ref="HY5:ID5"/>
    <mergeCell ref="IE5:IJ5"/>
    <mergeCell ref="IK5:IP5"/>
    <mergeCell ref="IQ5:IS5"/>
    <mergeCell ref="IT5:IV5"/>
    <mergeCell ref="IW5:IY5"/>
    <mergeCell ref="IZ5:JB5"/>
    <mergeCell ref="JC5:JE5"/>
    <mergeCell ref="JF5:JH5"/>
    <mergeCell ref="JU5:JV5"/>
    <mergeCell ref="JW5:JX5"/>
    <mergeCell ref="JY5:JZ5"/>
    <mergeCell ref="KA5:KB5"/>
    <mergeCell ref="KC5:KD5"/>
    <mergeCell ref="KE5:KF5"/>
    <mergeCell ref="S6:X6"/>
    <mergeCell ref="AA6:AF6"/>
    <mergeCell ref="AI6:AM6"/>
    <mergeCell ref="AP6:AT6"/>
    <mergeCell ref="AW6:AY6"/>
    <mergeCell ref="BB6:BD6"/>
    <mergeCell ref="BL6:BN6"/>
    <mergeCell ref="BQ6:BS6"/>
    <mergeCell ref="BV6:BX6"/>
    <mergeCell ref="CC6:CD6"/>
    <mergeCell ref="CE6:CG6"/>
    <mergeCell ref="CK6:CL6"/>
    <mergeCell ref="CM6:CO6"/>
    <mergeCell ref="CS6:CT6"/>
    <mergeCell ref="CU6:CV6"/>
    <mergeCell ref="CZ6:DA6"/>
    <mergeCell ref="DB6:DC6"/>
    <mergeCell ref="DG6:DH6"/>
    <mergeCell ref="DL6:DM6"/>
    <mergeCell ref="DQ6:DR6"/>
    <mergeCell ref="DV6:DW6"/>
    <mergeCell ref="EA6:EB6"/>
    <mergeCell ref="EF6:EG6"/>
    <mergeCell ref="FC6:FH6"/>
    <mergeCell ref="FK6:FO6"/>
    <mergeCell ref="FR6:FT6"/>
    <mergeCell ref="FW6:FY6"/>
    <mergeCell ref="GB6:GD6"/>
    <mergeCell ref="GG6:GI6"/>
    <mergeCell ref="GL6:GN6"/>
    <mergeCell ref="GY6:GZ6"/>
    <mergeCell ref="HA6:HC6"/>
    <mergeCell ref="HH6:HI6"/>
    <mergeCell ref="HJ6:HK6"/>
    <mergeCell ref="HP6:HQ6"/>
    <mergeCell ref="HV6:HW6"/>
    <mergeCell ref="IB6:IC6"/>
    <mergeCell ref="IH6:II6"/>
    <mergeCell ref="IN6:IO6"/>
    <mergeCell ref="S7:V7"/>
    <mergeCell ref="AA7:AD7"/>
    <mergeCell ref="AI7:AK7"/>
    <mergeCell ref="AP7:AR7"/>
    <mergeCell ref="FC7:FF7"/>
    <mergeCell ref="FK7:FM7"/>
    <mergeCell ref="A2:A8"/>
    <mergeCell ref="B2:B8"/>
    <mergeCell ref="C2:C8"/>
    <mergeCell ref="D2:D8"/>
    <mergeCell ref="E2:E8"/>
    <mergeCell ref="F5:F8"/>
    <mergeCell ref="G5:G8"/>
    <mergeCell ref="H5:H8"/>
    <mergeCell ref="I5:I8"/>
    <mergeCell ref="J5:J8"/>
    <mergeCell ref="K5:K8"/>
    <mergeCell ref="L5:L8"/>
    <mergeCell ref="M4:M8"/>
    <mergeCell ref="N4:N8"/>
    <mergeCell ref="O4:O8"/>
    <mergeCell ref="P4:P8"/>
    <mergeCell ref="Q4:Q8"/>
    <mergeCell ref="R6:R8"/>
    <mergeCell ref="W7:W8"/>
    <mergeCell ref="X7:X8"/>
    <mergeCell ref="Y6:Y8"/>
    <mergeCell ref="Z6:Z8"/>
    <mergeCell ref="AE7:AE8"/>
    <mergeCell ref="AF7:AF8"/>
    <mergeCell ref="AG6:AG8"/>
    <mergeCell ref="AH6:AH8"/>
    <mergeCell ref="AL7:AL8"/>
    <mergeCell ref="AM7:AM8"/>
    <mergeCell ref="AN6:AN8"/>
    <mergeCell ref="AO6:AO8"/>
    <mergeCell ref="AS7:AS8"/>
    <mergeCell ref="AT7:AT8"/>
    <mergeCell ref="AU6:AU8"/>
    <mergeCell ref="AV6:AV8"/>
    <mergeCell ref="AW7:AW8"/>
    <mergeCell ref="AX7:AX8"/>
    <mergeCell ref="AY7:AY8"/>
    <mergeCell ref="AZ6:AZ8"/>
    <mergeCell ref="BA6:BA8"/>
    <mergeCell ref="BB7:BB8"/>
    <mergeCell ref="BC7:BC8"/>
    <mergeCell ref="BD7:BD8"/>
    <mergeCell ref="BE6:BE8"/>
    <mergeCell ref="BF6:BF8"/>
    <mergeCell ref="BG7:BG8"/>
    <mergeCell ref="BH7:BH8"/>
    <mergeCell ref="BI7:BI8"/>
    <mergeCell ref="BJ6:BJ8"/>
    <mergeCell ref="BK6:BK8"/>
    <mergeCell ref="BL7:BL8"/>
    <mergeCell ref="BM7:BM8"/>
    <mergeCell ref="BN7:BN8"/>
    <mergeCell ref="BO6:BO8"/>
    <mergeCell ref="BP6:BP8"/>
    <mergeCell ref="BQ7:BQ8"/>
    <mergeCell ref="BR7:BR8"/>
    <mergeCell ref="BS7:BS8"/>
    <mergeCell ref="BT6:BT8"/>
    <mergeCell ref="BU6:BU8"/>
    <mergeCell ref="BV7:BV8"/>
    <mergeCell ref="BW7:BW8"/>
    <mergeCell ref="BX7:BX8"/>
    <mergeCell ref="BY6:BY8"/>
    <mergeCell ref="BZ6:BZ8"/>
    <mergeCell ref="CA6:CA8"/>
    <mergeCell ref="CB6:CB8"/>
    <mergeCell ref="CC7:CC8"/>
    <mergeCell ref="CD7:CD8"/>
    <mergeCell ref="CE7:CE8"/>
    <mergeCell ref="CF7:CF8"/>
    <mergeCell ref="CG7:CG8"/>
    <mergeCell ref="CH6:CH8"/>
    <mergeCell ref="CI6:CI8"/>
    <mergeCell ref="CJ6:CJ8"/>
    <mergeCell ref="CK7:CK8"/>
    <mergeCell ref="CL7:CL8"/>
    <mergeCell ref="CM7:CM8"/>
    <mergeCell ref="CN7:CN8"/>
    <mergeCell ref="CO7:CO8"/>
    <mergeCell ref="CP6:CP8"/>
    <mergeCell ref="CQ6:CQ8"/>
    <mergeCell ref="CR6:CR8"/>
    <mergeCell ref="CS7:CS8"/>
    <mergeCell ref="CT7:CT8"/>
    <mergeCell ref="CU7:CU8"/>
    <mergeCell ref="CV7:CV8"/>
    <mergeCell ref="CW6:CW8"/>
    <mergeCell ref="CX6:CX8"/>
    <mergeCell ref="CY6:CY8"/>
    <mergeCell ref="CZ7:CZ8"/>
    <mergeCell ref="DA7:DA8"/>
    <mergeCell ref="DB7:DB8"/>
    <mergeCell ref="DC7:DC8"/>
    <mergeCell ref="DD6:DD8"/>
    <mergeCell ref="DE6:DE8"/>
    <mergeCell ref="DF6:DF8"/>
    <mergeCell ref="DG7:DG8"/>
    <mergeCell ref="DH7:DH8"/>
    <mergeCell ref="DI6:DI8"/>
    <mergeCell ref="DJ6:DJ8"/>
    <mergeCell ref="DK6:DK8"/>
    <mergeCell ref="DL7:DL8"/>
    <mergeCell ref="DM7:DM8"/>
    <mergeCell ref="DN6:DN8"/>
    <mergeCell ref="DO6:DO8"/>
    <mergeCell ref="DP6:DP8"/>
    <mergeCell ref="DQ7:DQ8"/>
    <mergeCell ref="DR7:DR8"/>
    <mergeCell ref="DS6:DS8"/>
    <mergeCell ref="DT6:DT8"/>
    <mergeCell ref="DU6:DU8"/>
    <mergeCell ref="DV7:DV8"/>
    <mergeCell ref="DW7:DW8"/>
    <mergeCell ref="DX6:DX8"/>
    <mergeCell ref="DY6:DY8"/>
    <mergeCell ref="DZ6:DZ8"/>
    <mergeCell ref="EA7:EA8"/>
    <mergeCell ref="EB7:EB8"/>
    <mergeCell ref="EC6:EC8"/>
    <mergeCell ref="ED6:ED8"/>
    <mergeCell ref="EE6:EE8"/>
    <mergeCell ref="EF7:EF8"/>
    <mergeCell ref="EG7:EG8"/>
    <mergeCell ref="EH6:EH8"/>
    <mergeCell ref="EI6:EI8"/>
    <mergeCell ref="EJ6:EJ8"/>
    <mergeCell ref="EK6:EK8"/>
    <mergeCell ref="EL6:EL8"/>
    <mergeCell ref="EM6:EM8"/>
    <mergeCell ref="EN6:EN8"/>
    <mergeCell ref="EO6:EO8"/>
    <mergeCell ref="EP6:EP8"/>
    <mergeCell ref="EQ5:EQ8"/>
    <mergeCell ref="ER5:ER8"/>
    <mergeCell ref="ES5:ES8"/>
    <mergeCell ref="ET5:ET8"/>
    <mergeCell ref="EU5:EU8"/>
    <mergeCell ref="EV5:EV8"/>
    <mergeCell ref="EW5:EW8"/>
    <mergeCell ref="EX5:EX8"/>
    <mergeCell ref="EY5:EY8"/>
    <mergeCell ref="EZ5:EZ8"/>
    <mergeCell ref="FA5:FA8"/>
    <mergeCell ref="FB6:FB8"/>
    <mergeCell ref="FG7:FG8"/>
    <mergeCell ref="FH7:FH8"/>
    <mergeCell ref="FI6:FI8"/>
    <mergeCell ref="FJ6:FJ8"/>
    <mergeCell ref="FN7:FN8"/>
    <mergeCell ref="FO7:FO8"/>
    <mergeCell ref="FP6:FP8"/>
    <mergeCell ref="FQ6:FQ8"/>
    <mergeCell ref="FR7:FR8"/>
    <mergeCell ref="FS7:FS8"/>
    <mergeCell ref="FT7:FT8"/>
    <mergeCell ref="FU6:FU8"/>
    <mergeCell ref="FV6:FV8"/>
    <mergeCell ref="FW7:FW8"/>
    <mergeCell ref="FX7:FX8"/>
    <mergeCell ref="FY7:FY8"/>
    <mergeCell ref="FZ6:FZ8"/>
    <mergeCell ref="GA6:GA8"/>
    <mergeCell ref="GB7:GB8"/>
    <mergeCell ref="GC7:GC8"/>
    <mergeCell ref="GD7:GD8"/>
    <mergeCell ref="GE6:GE8"/>
    <mergeCell ref="GF6:GF8"/>
    <mergeCell ref="GG7:GG8"/>
    <mergeCell ref="GH7:GH8"/>
    <mergeCell ref="GI7:GI8"/>
    <mergeCell ref="GJ6:GJ8"/>
    <mergeCell ref="GK6:GK8"/>
    <mergeCell ref="GL7:GL8"/>
    <mergeCell ref="GM7:GM8"/>
    <mergeCell ref="GN7:GN8"/>
    <mergeCell ref="GO6:GO8"/>
    <mergeCell ref="GP5:GP8"/>
    <mergeCell ref="GQ5:GQ8"/>
    <mergeCell ref="GR5:GR8"/>
    <mergeCell ref="GS5:GS8"/>
    <mergeCell ref="GT5:GT8"/>
    <mergeCell ref="GU5:GU8"/>
    <mergeCell ref="GV6:GV8"/>
    <mergeCell ref="GW6:GW8"/>
    <mergeCell ref="GX6:GX8"/>
    <mergeCell ref="GY7:GY8"/>
    <mergeCell ref="GZ7:GZ8"/>
    <mergeCell ref="HA7:HA8"/>
    <mergeCell ref="HB7:HB8"/>
    <mergeCell ref="HC7:HC8"/>
    <mergeCell ref="HD6:HD8"/>
    <mergeCell ref="HE6:HE8"/>
    <mergeCell ref="HF6:HF8"/>
    <mergeCell ref="HG6:HG8"/>
    <mergeCell ref="HH7:HH8"/>
    <mergeCell ref="HI7:HI8"/>
    <mergeCell ref="HJ7:HJ8"/>
    <mergeCell ref="HK7:HK8"/>
    <mergeCell ref="HL6:HL8"/>
    <mergeCell ref="HM6:HM8"/>
    <mergeCell ref="HN6:HN8"/>
    <mergeCell ref="HO6:HO8"/>
    <mergeCell ref="HP7:HP8"/>
    <mergeCell ref="HQ7:HQ8"/>
    <mergeCell ref="HR6:HR8"/>
    <mergeCell ref="HS6:HS8"/>
    <mergeCell ref="HT6:HT8"/>
    <mergeCell ref="HU6:HU8"/>
    <mergeCell ref="HV7:HV8"/>
    <mergeCell ref="HW7:HW8"/>
    <mergeCell ref="HX6:HX8"/>
    <mergeCell ref="HY6:HY8"/>
    <mergeCell ref="HZ6:HZ8"/>
    <mergeCell ref="IA6:IA8"/>
    <mergeCell ref="IB7:IB8"/>
    <mergeCell ref="IC7:IC8"/>
    <mergeCell ref="ID6:ID8"/>
    <mergeCell ref="IE6:IE8"/>
    <mergeCell ref="IF6:IF8"/>
    <mergeCell ref="IG6:IG8"/>
    <mergeCell ref="IH7:IH8"/>
    <mergeCell ref="II7:II8"/>
    <mergeCell ref="IJ6:IJ8"/>
    <mergeCell ref="IK6:IK8"/>
    <mergeCell ref="IL6:IL8"/>
    <mergeCell ref="IM6:IM8"/>
    <mergeCell ref="IN7:IN8"/>
    <mergeCell ref="IO7:IO8"/>
    <mergeCell ref="IP6:IP8"/>
    <mergeCell ref="IQ6:IQ8"/>
    <mergeCell ref="IR6:IR8"/>
    <mergeCell ref="IS6:IS8"/>
    <mergeCell ref="IT6:IT8"/>
    <mergeCell ref="IU6:IU8"/>
    <mergeCell ref="IV6:IV8"/>
    <mergeCell ref="IW6:IW8"/>
    <mergeCell ref="IX6:IX8"/>
    <mergeCell ref="IY6:IY8"/>
    <mergeCell ref="IZ6:IZ8"/>
    <mergeCell ref="JA6:JA8"/>
    <mergeCell ref="JB6:JB8"/>
    <mergeCell ref="JC6:JC8"/>
    <mergeCell ref="JD6:JD8"/>
    <mergeCell ref="JE6:JE8"/>
    <mergeCell ref="JF6:JF8"/>
    <mergeCell ref="JG6:JG8"/>
    <mergeCell ref="JH6:JH8"/>
    <mergeCell ref="JI5:JI8"/>
    <mergeCell ref="JJ5:JJ8"/>
    <mergeCell ref="JK5:JK8"/>
    <mergeCell ref="JL5:JL8"/>
    <mergeCell ref="JM5:JM8"/>
    <mergeCell ref="JN5:JN8"/>
    <mergeCell ref="JO5:JO8"/>
    <mergeCell ref="JP5:JP8"/>
    <mergeCell ref="JQ5:JQ8"/>
    <mergeCell ref="JR5:JR8"/>
    <mergeCell ref="JS5:JS8"/>
    <mergeCell ref="JT5:JT8"/>
    <mergeCell ref="JU6:JU8"/>
    <mergeCell ref="JV6:JV8"/>
    <mergeCell ref="JW6:JW8"/>
    <mergeCell ref="JX6:JX8"/>
    <mergeCell ref="JY6:JY8"/>
    <mergeCell ref="JZ6:JZ8"/>
    <mergeCell ref="KA6:KA8"/>
    <mergeCell ref="KB6:KB8"/>
    <mergeCell ref="KC6:KC8"/>
    <mergeCell ref="KD6:KD8"/>
    <mergeCell ref="KE6:KE8"/>
    <mergeCell ref="KF6:KF8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模板</vt:lpstr>
      <vt:lpstr>拍照客户_客户级</vt:lpstr>
      <vt:lpstr>拍照客户_业务级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tianj</cp:lastModifiedBy>
  <dcterms:created xsi:type="dcterms:W3CDTF">2024-07-23T01:57:00Z</dcterms:created>
  <dcterms:modified xsi:type="dcterms:W3CDTF">2026-09-11T03:41:44Z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5A34C0656CBA46C78BB116067EE372FB_13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