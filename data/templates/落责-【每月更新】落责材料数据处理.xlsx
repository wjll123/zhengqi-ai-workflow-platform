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0080" firstSheet="3" activeTab="3"/>
  </bookViews>
  <sheets>
    <sheet name="全量统计" sheetId="5" r:id="rId1"/>
    <sheet name="全量收入正增长统计" sheetId="10" r:id="rId2"/>
    <sheet name="集团规上统计" sheetId="3" r:id="rId3"/>
    <sheet name="专精特新统计" sheetId="4" r:id="rId4"/>
  </sheets>
  <definedNames>
    <definedName name="_xlnm._FilterDatabase" localSheetId="0" hidden="1">全量统计!$C$30:$AI$147</definedName>
    <definedName name="_xlnm._FilterDatabase" localSheetId="3" hidden="1">专精特新统计!$B$34:$U$80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<sst xmlns="http://schemas.openxmlformats.org/spreadsheetml/2006/main" count="849" uniqueCount="84">
  <si>
    <t>存量P码编码数量</t>
  </si>
  <si>
    <t>卓越</t>
  </si>
  <si>
    <t>战略</t>
  </si>
  <si>
    <t>核心</t>
  </si>
  <si>
    <t>主要</t>
  </si>
  <si>
    <t>普通</t>
  </si>
  <si>
    <t>落责数量</t>
  </si>
  <si>
    <t>落责准确客户数量</t>
  </si>
  <si>
    <t>落责准确率%</t>
  </si>
  <si>
    <t>直销落责数量（服务挂钩客户总数）</t>
  </si>
  <si>
    <t>有客户经理服务的客户数量</t>
  </si>
  <si>
    <t>有客户经理占比%</t>
  </si>
  <si>
    <t>全省</t>
  </si>
  <si>
    <t>深圳</t>
  </si>
  <si>
    <t>广州</t>
  </si>
  <si>
    <t>东莞</t>
  </si>
  <si>
    <t>佛山</t>
  </si>
  <si>
    <t>中山</t>
  </si>
  <si>
    <t>惠州</t>
  </si>
  <si>
    <t>江门</t>
  </si>
  <si>
    <t>珠海</t>
  </si>
  <si>
    <t>汕头</t>
  </si>
  <si>
    <t>揭阳</t>
  </si>
  <si>
    <t>潮州</t>
  </si>
  <si>
    <t>汕尾</t>
  </si>
  <si>
    <t>茂名</t>
  </si>
  <si>
    <t>湛江</t>
  </si>
  <si>
    <t>阳江</t>
  </si>
  <si>
    <t>云浮</t>
  </si>
  <si>
    <t>清远</t>
  </si>
  <si>
    <t>肇庆</t>
  </si>
  <si>
    <t>梅州</t>
  </si>
  <si>
    <t>韶关</t>
  </si>
  <si>
    <t>河源</t>
  </si>
  <si>
    <t>省管客</t>
  </si>
  <si>
    <t>地市</t>
  </si>
  <si>
    <t>客户分级</t>
  </si>
  <si>
    <t>行客</t>
  </si>
  <si>
    <t>商客</t>
  </si>
  <si>
    <t>综合营服
（包含组织有标识但未在划小清单内、东莞非行/商客承包小类）</t>
  </si>
  <si>
    <t>总计</t>
  </si>
  <si>
    <t>直销落责数量</t>
  </si>
  <si>
    <t>有客户经理数</t>
  </si>
  <si>
    <t>其中：有客户经理数</t>
  </si>
  <si>
    <t>落责准确数</t>
  </si>
  <si>
    <t>有客户经理占比</t>
  </si>
  <si>
    <t>全省
（维度一：产权与注册地判断）</t>
  </si>
  <si>
    <t>全省
（维度二：产权对应地市是否有实际业务收入判断）</t>
  </si>
  <si>
    <t>/</t>
  </si>
  <si>
    <t>省政企客户事业部</t>
  </si>
  <si>
    <t>全量</t>
  </si>
  <si>
    <t>PPT材料</t>
  </si>
  <si>
    <t>分公司</t>
  </si>
  <si>
    <t>有客户经理占比 %</t>
  </si>
  <si>
    <t>收入正增长客户数量</t>
  </si>
  <si>
    <t>正增长客户占比%</t>
  </si>
  <si>
    <t>直销落责数量（服务挂钩的总数）</t>
  </si>
  <si>
    <t>正增长客户占比 %</t>
  </si>
  <si>
    <t>省政企</t>
  </si>
  <si>
    <t>序号</t>
  </si>
  <si>
    <t>客户所属地市</t>
  </si>
  <si>
    <t>省政企客户</t>
  </si>
  <si>
    <t>小计</t>
  </si>
  <si>
    <r>
      <rPr>
        <b/>
        <sz val="12"/>
        <color rgb="FF000000"/>
        <rFont val="微软雅黑"/>
        <charset val="134"/>
      </rPr>
      <t>（</t>
    </r>
    <r>
      <rPr>
        <b/>
        <sz val="10"/>
        <color rgb="FF000000"/>
        <rFont val="微软雅黑"/>
        <charset val="134"/>
      </rPr>
      <t>存量P码编码数量</t>
    </r>
    <r>
      <rPr>
        <b/>
        <sz val="12"/>
        <color rgb="FF000000"/>
        <rFont val="微软雅黑"/>
        <charset val="134"/>
      </rPr>
      <t>）</t>
    </r>
  </si>
  <si>
    <t>落责准确率</t>
  </si>
  <si>
    <t>落责中有客户经理</t>
  </si>
  <si>
    <r>
      <rPr>
        <b/>
        <sz val="9"/>
        <color rgb="FFC00000"/>
        <rFont val="微软雅黑"/>
        <charset val="134"/>
      </rPr>
      <t>有客户经理占比</t>
    </r>
    <r>
      <rPr>
        <b/>
        <sz val="9"/>
        <color rgb="FF000000"/>
        <rFont val="微软雅黑"/>
        <charset val="134"/>
      </rPr>
      <t>%</t>
    </r>
  </si>
  <si>
    <t>集团规上PPT材料</t>
  </si>
  <si>
    <t>%</t>
  </si>
  <si>
    <t>战略落责准确</t>
  </si>
  <si>
    <t>核心落责准确</t>
  </si>
  <si>
    <t>总落责准确数</t>
  </si>
  <si>
    <t>落责不准确</t>
  </si>
  <si>
    <t>直销核心落责数量</t>
  </si>
  <si>
    <t>直销战略落责数量</t>
  </si>
  <si>
    <t>(维度一：产权与注册地判断)</t>
  </si>
  <si>
    <t>有客户经理</t>
  </si>
  <si>
    <t>(维度二：产权对应地市是否有实际业务收入判断)</t>
  </si>
  <si>
    <t>省直管</t>
  </si>
  <si>
    <t>省直管客户</t>
  </si>
  <si>
    <t>数据源</t>
  </si>
  <si>
    <t>未落责</t>
  </si>
  <si>
    <t>按注册地+业务收入判断</t>
  </si>
  <si>
    <t>专精特新PPT材料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</si>
</sst>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_ "/>
    <numFmt numFmtId="178" formatCode="0.000_ "/>
    <numFmt numFmtId="179" formatCode="0_ "/>
  </numFmts>
  <fonts count="52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9"/>
      <color rgb="FF000000"/>
      <name val="微软雅黑"/>
      <charset val="134"/>
    </font>
    <font>
      <b/>
      <sz val="9"/>
      <color rgb="FFC00000"/>
      <name val="微软雅黑"/>
      <charset val="134"/>
    </font>
    <font>
      <b/>
      <sz val="16"/>
      <color theme="1"/>
      <name val="宋体"/>
      <charset val="134"/>
      <scheme val="minor"/>
    </font>
    <font>
      <b/>
      <sz val="16"/>
      <color rgb="FF000000"/>
      <name val="微软雅黑"/>
      <charset val="134"/>
    </font>
    <font>
      <b/>
      <sz val="8"/>
      <color rgb="FFC00000"/>
      <name val="微软雅黑"/>
      <charset val="134"/>
    </font>
    <font>
      <sz val="9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6"/>
      <color theme="1"/>
      <name val="微软雅黑"/>
      <charset val="134"/>
    </font>
    <font>
      <b/>
      <sz val="10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14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b/>
      <sz val="8"/>
      <color rgb="FF000000"/>
      <name val="微软雅黑"/>
      <charset val="134"/>
    </font>
    <font>
      <sz val="8"/>
      <color rgb="FF000000"/>
      <name val="微软雅黑"/>
      <charset val="134"/>
    </font>
    <font>
      <sz val="8"/>
      <name val="微软雅黑"/>
      <charset val="134"/>
    </font>
    <font>
      <sz val="10"/>
      <name val="微软雅黑"/>
      <charset val="134"/>
    </font>
    <font>
      <b/>
      <sz val="8"/>
      <name val="微软雅黑"/>
      <charset val="134"/>
    </font>
    <font>
      <b/>
      <sz val="14"/>
      <color rgb="FF000000"/>
      <name val="微软雅黑"/>
      <charset val="134"/>
    </font>
    <font>
      <sz val="9"/>
      <name val="微软雅黑"/>
      <charset val="134"/>
    </font>
    <font>
      <sz val="9"/>
      <color rgb="FFFFFFFF"/>
      <name val="微软雅黑"/>
      <charset val="134"/>
    </font>
    <font>
      <sz val="9"/>
      <color theme="0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EAE8DA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EEFE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/>
      <bottom style="medium">
        <color rgb="FF76717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80808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808080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80808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16" borderId="22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7" borderId="25" applyNumberFormat="0" applyAlignment="0" applyProtection="0">
      <alignment vertical="center"/>
    </xf>
    <xf numFmtId="0" fontId="42" fillId="18" borderId="26" applyNumberFormat="0" applyAlignment="0" applyProtection="0">
      <alignment vertical="center"/>
    </xf>
    <xf numFmtId="0" fontId="43" fillId="18" borderId="25" applyNumberFormat="0" applyAlignment="0" applyProtection="0">
      <alignment vertical="center"/>
    </xf>
    <xf numFmtId="0" fontId="44" fillId="19" borderId="27" applyNumberFormat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0" fontId="0" fillId="0" borderId="0" xfId="0" applyNumberForma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76" fontId="9" fillId="6" borderId="2" xfId="0" applyNumberFormat="1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176" fontId="8" fillId="7" borderId="3" xfId="0" applyNumberFormat="1" applyFont="1" applyFill="1" applyBorder="1" applyAlignment="1">
      <alignment horizontal="center" vertical="center" wrapText="1"/>
    </xf>
    <xf numFmtId="177" fontId="10" fillId="7" borderId="3" xfId="0" applyNumberFormat="1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177" fontId="8" fillId="7" borderId="3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77" fontId="11" fillId="0" borderId="3" xfId="0" applyNumberFormat="1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176" fontId="2" fillId="6" borderId="2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177" fontId="11" fillId="8" borderId="3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178" fontId="13" fillId="0" borderId="0" xfId="0" applyNumberFormat="1" applyFont="1" applyFill="1" applyAlignment="1">
      <alignment horizontal="center" vertical="center"/>
    </xf>
    <xf numFmtId="0" fontId="14" fillId="0" borderId="5" xfId="0" applyFont="1" applyFill="1" applyBorder="1" applyAlignment="1">
      <alignment vertical="center"/>
    </xf>
    <xf numFmtId="0" fontId="15" fillId="0" borderId="5" xfId="0" applyFont="1" applyFill="1" applyBorder="1" applyAlignment="1">
      <alignment vertical="center"/>
    </xf>
    <xf numFmtId="179" fontId="14" fillId="0" borderId="6" xfId="0" applyNumberFormat="1" applyFont="1" applyFill="1" applyBorder="1" applyAlignment="1">
      <alignment vertical="center"/>
    </xf>
    <xf numFmtId="179" fontId="14" fillId="0" borderId="7" xfId="0" applyNumberFormat="1" applyFont="1" applyFill="1" applyBorder="1" applyAlignment="1">
      <alignment vertical="center"/>
    </xf>
    <xf numFmtId="0" fontId="14" fillId="0" borderId="6" xfId="0" applyFont="1" applyFill="1" applyBorder="1" applyAlignment="1">
      <alignment vertical="center"/>
    </xf>
    <xf numFmtId="10" fontId="14" fillId="0" borderId="6" xfId="0" applyNumberFormat="1" applyFont="1" applyFill="1" applyBorder="1" applyAlignment="1">
      <alignment vertical="center"/>
    </xf>
    <xf numFmtId="0" fontId="16" fillId="9" borderId="5" xfId="0" applyFont="1" applyFill="1" applyBorder="1" applyAlignment="1">
      <alignment vertical="center"/>
    </xf>
    <xf numFmtId="0" fontId="16" fillId="10" borderId="5" xfId="0" applyFont="1" applyFill="1" applyBorder="1" applyAlignment="1">
      <alignment vertical="center"/>
    </xf>
    <xf numFmtId="0" fontId="14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10" fontId="17" fillId="0" borderId="9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0" fontId="19" fillId="0" borderId="9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 wrapText="1"/>
    </xf>
    <xf numFmtId="10" fontId="17" fillId="6" borderId="11" xfId="0" applyNumberFormat="1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/>
    </xf>
    <xf numFmtId="10" fontId="19" fillId="6" borderId="11" xfId="0" applyNumberFormat="1" applyFont="1" applyFill="1" applyBorder="1" applyAlignment="1">
      <alignment horizontal="center" vertical="center"/>
    </xf>
    <xf numFmtId="0" fontId="19" fillId="11" borderId="10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179" fontId="21" fillId="0" borderId="0" xfId="0" applyNumberFormat="1" applyFont="1" applyFill="1" applyAlignment="1">
      <alignment horizontal="center" vertical="center"/>
    </xf>
    <xf numFmtId="179" fontId="21" fillId="0" borderId="9" xfId="0" applyNumberFormat="1" applyFont="1" applyFill="1" applyBorder="1" applyAlignment="1">
      <alignment horizontal="center" vertical="center"/>
    </xf>
    <xf numFmtId="0" fontId="19" fillId="13" borderId="0" xfId="0" applyFont="1" applyFill="1" applyBorder="1" applyAlignment="1">
      <alignment horizontal="center" vertical="center"/>
    </xf>
    <xf numFmtId="10" fontId="19" fillId="13" borderId="9" xfId="0" applyNumberFormat="1" applyFont="1" applyFill="1" applyBorder="1" applyAlignment="1">
      <alignment horizontal="center" vertical="center"/>
    </xf>
    <xf numFmtId="0" fontId="17" fillId="14" borderId="10" xfId="0" applyFont="1" applyFill="1" applyBorder="1" applyAlignment="1">
      <alignment horizontal="center" vertical="center"/>
    </xf>
    <xf numFmtId="10" fontId="17" fillId="14" borderId="11" xfId="0" applyNumberFormat="1" applyFont="1" applyFill="1" applyBorder="1" applyAlignment="1">
      <alignment horizontal="center" vertical="center"/>
    </xf>
    <xf numFmtId="179" fontId="21" fillId="14" borderId="12" xfId="0" applyNumberFormat="1" applyFont="1" applyFill="1" applyBorder="1" applyAlignment="1">
      <alignment horizontal="center" vertical="center"/>
    </xf>
    <xf numFmtId="179" fontId="21" fillId="14" borderId="11" xfId="0" applyNumberFormat="1" applyFont="1" applyFill="1" applyBorder="1" applyAlignment="1">
      <alignment horizontal="center" vertical="center"/>
    </xf>
    <xf numFmtId="0" fontId="18" fillId="14" borderId="12" xfId="0" applyFont="1" applyFill="1" applyBorder="1" applyAlignment="1">
      <alignment horizontal="center" vertical="center"/>
    </xf>
    <xf numFmtId="0" fontId="18" fillId="14" borderId="11" xfId="0" applyFont="1" applyFill="1" applyBorder="1" applyAlignment="1">
      <alignment horizontal="center" vertical="center"/>
    </xf>
    <xf numFmtId="0" fontId="19" fillId="14" borderId="12" xfId="0" applyFont="1" applyFill="1" applyBorder="1" applyAlignment="1">
      <alignment horizontal="center" vertical="center"/>
    </xf>
    <xf numFmtId="10" fontId="19" fillId="14" borderId="11" xfId="0" applyNumberFormat="1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0" fontId="21" fillId="0" borderId="15" xfId="0" applyFont="1" applyFill="1" applyBorder="1" applyAlignment="1">
      <alignment vertical="center" wrapText="1"/>
    </xf>
    <xf numFmtId="0" fontId="21" fillId="0" borderId="7" xfId="0" applyFont="1" applyFill="1" applyBorder="1" applyAlignment="1">
      <alignment vertical="center" wrapText="1"/>
    </xf>
    <xf numFmtId="179" fontId="21" fillId="0" borderId="6" xfId="0" applyNumberFormat="1" applyFont="1" applyFill="1" applyBorder="1" applyAlignment="1">
      <alignment vertical="center" wrapText="1"/>
    </xf>
    <xf numFmtId="179" fontId="21" fillId="0" borderId="7" xfId="0" applyNumberFormat="1" applyFont="1" applyFill="1" applyBorder="1" applyAlignment="1">
      <alignment vertical="center" wrapText="1"/>
    </xf>
    <xf numFmtId="0" fontId="21" fillId="0" borderId="6" xfId="0" applyFont="1" applyFill="1" applyBorder="1" applyAlignment="1">
      <alignment vertical="center" wrapText="1"/>
    </xf>
    <xf numFmtId="10" fontId="21" fillId="0" borderId="6" xfId="0" applyNumberFormat="1" applyFont="1" applyFill="1" applyBorder="1" applyAlignment="1">
      <alignment vertical="center" wrapText="1"/>
    </xf>
    <xf numFmtId="0" fontId="21" fillId="0" borderId="5" xfId="0" applyFont="1" applyFill="1" applyBorder="1" applyAlignment="1">
      <alignment vertical="center" wrapText="1"/>
    </xf>
    <xf numFmtId="0" fontId="8" fillId="0" borderId="0" xfId="0" applyFont="1" applyFill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 wrapText="1"/>
    </xf>
    <xf numFmtId="10" fontId="19" fillId="6" borderId="12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0" fontId="19" fillId="13" borderId="0" xfId="0" applyNumberFormat="1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10" fontId="17" fillId="15" borderId="11" xfId="0" applyNumberFormat="1" applyFont="1" applyFill="1" applyBorder="1" applyAlignment="1">
      <alignment horizontal="center" vertical="center"/>
    </xf>
    <xf numFmtId="179" fontId="21" fillId="15" borderId="12" xfId="0" applyNumberFormat="1" applyFont="1" applyFill="1" applyBorder="1" applyAlignment="1">
      <alignment horizontal="center" vertical="center"/>
    </xf>
    <xf numFmtId="179" fontId="21" fillId="15" borderId="11" xfId="0" applyNumberFormat="1" applyFont="1" applyFill="1" applyBorder="1" applyAlignment="1">
      <alignment horizontal="center" vertical="center"/>
    </xf>
    <xf numFmtId="0" fontId="18" fillId="15" borderId="12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0" fontId="19" fillId="15" borderId="12" xfId="0" applyFont="1" applyFill="1" applyBorder="1" applyAlignment="1">
      <alignment horizontal="center" vertical="center"/>
    </xf>
    <xf numFmtId="10" fontId="19" fillId="15" borderId="12" xfId="0" applyNumberFormat="1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177" fontId="23" fillId="7" borderId="3" xfId="0" applyNumberFormat="1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177" fontId="24" fillId="0" borderId="3" xfId="0" applyNumberFormat="1" applyFont="1" applyBorder="1" applyAlignment="1">
      <alignment horizontal="center" vertical="center" wrapText="1"/>
    </xf>
    <xf numFmtId="176" fontId="24" fillId="0" borderId="3" xfId="0" applyNumberFormat="1" applyFont="1" applyBorder="1" applyAlignment="1">
      <alignment horizontal="center" vertical="center" wrapText="1"/>
    </xf>
    <xf numFmtId="176" fontId="11" fillId="0" borderId="3" xfId="0" applyNumberFormat="1" applyFont="1" applyBorder="1" applyAlignment="1">
      <alignment horizontal="center" vertical="center" wrapText="1"/>
    </xf>
    <xf numFmtId="176" fontId="25" fillId="0" borderId="3" xfId="0" applyNumberFormat="1" applyFont="1" applyBorder="1" applyAlignment="1">
      <alignment horizontal="center" vertical="center" wrapText="1"/>
    </xf>
    <xf numFmtId="176" fontId="26" fillId="0" borderId="3" xfId="0" applyNumberFormat="1" applyFont="1" applyBorder="1" applyAlignment="1">
      <alignment horizontal="center" vertical="center" wrapText="1"/>
    </xf>
    <xf numFmtId="0" fontId="27" fillId="8" borderId="3" xfId="0" applyNumberFormat="1" applyFont="1" applyFill="1" applyBorder="1" applyAlignment="1">
      <alignment horizontal="center" vertical="center" wrapText="1"/>
    </xf>
    <xf numFmtId="0" fontId="25" fillId="8" borderId="3" xfId="0" applyNumberFormat="1" applyFont="1" applyFill="1" applyBorder="1" applyAlignment="1">
      <alignment horizontal="center" vertical="center" wrapText="1"/>
    </xf>
    <xf numFmtId="176" fontId="25" fillId="8" borderId="3" xfId="0" applyNumberFormat="1" applyFont="1" applyFill="1" applyBorder="1" applyAlignment="1">
      <alignment horizontal="center" vertical="center" wrapText="1"/>
    </xf>
    <xf numFmtId="0" fontId="10" fillId="8" borderId="3" xfId="0" applyNumberFormat="1" applyFont="1" applyFill="1" applyBorder="1" applyAlignment="1">
      <alignment horizontal="center" vertical="center" wrapText="1"/>
    </xf>
    <xf numFmtId="0" fontId="26" fillId="8" borderId="3" xfId="0" applyNumberFormat="1" applyFont="1" applyFill="1" applyBorder="1" applyAlignment="1">
      <alignment horizontal="center" vertical="center" wrapText="1"/>
    </xf>
    <xf numFmtId="176" fontId="26" fillId="8" borderId="3" xfId="0" applyNumberFormat="1" applyFont="1" applyFill="1" applyBorder="1" applyAlignment="1">
      <alignment horizontal="center" vertical="center" wrapText="1"/>
    </xf>
    <xf numFmtId="177" fontId="26" fillId="8" borderId="3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8" fillId="2" borderId="18" xfId="0" applyFont="1" applyFill="1" applyBorder="1" applyAlignment="1">
      <alignment horizontal="center" vertical="center" wrapText="1"/>
    </xf>
    <xf numFmtId="0" fontId="28" fillId="2" borderId="19" xfId="0" applyFont="1" applyFill="1" applyBorder="1" applyAlignment="1">
      <alignment horizontal="center" vertical="center" wrapText="1"/>
    </xf>
    <xf numFmtId="0" fontId="28" fillId="2" borderId="14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29" fillId="2" borderId="21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30" fillId="10" borderId="5" xfId="0" applyFont="1" applyFill="1" applyBorder="1" applyAlignment="1">
      <alignment horizontal="center" vertical="center" wrapText="1"/>
    </xf>
    <xf numFmtId="0" fontId="31" fillId="10" borderId="5" xfId="0" applyFont="1" applyFill="1" applyBorder="1" applyAlignment="1">
      <alignment horizontal="center" vertical="center" wrapText="1"/>
    </xf>
    <xf numFmtId="177" fontId="31" fillId="10" borderId="5" xfId="0" applyNumberFormat="1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77" fontId="7" fillId="0" borderId="5" xfId="0" applyNumberFormat="1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177" fontId="7" fillId="6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vertical="center"/>
    </xf>
    <xf numFmtId="0" fontId="3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ont>
        <b val="1"/>
        <i val="0"/>
        <color rgb="FFFF0000"/>
      </font>
    </dxf>
    <dxf>
      <font>
        <b val="1"/>
        <i val="0"/>
        <color rgb="FF0070C0"/>
      </font>
    </dxf>
    <dxf>
      <font>
        <b val="1"/>
        <i val="0"/>
        <color rgb="FF0070C0"/>
      </font>
    </dxf>
    <dxf>
      <font>
        <b val="1"/>
        <i val="0"/>
        <color rgb="FFFF0000"/>
      </font>
    </dxf>
    <dxf>
      <font>
        <b val="1"/>
        <i val="0"/>
        <color rgb="FF0070C0"/>
      </font>
      <numFmt numFmtId="180" formatCode="0.00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mruColors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152"/>
  <sheetViews>
    <sheetView zoomScale="70" zoomScaleNormal="70" topLeftCell="A14" workbookViewId="0">
      <selection activeCell="P32" sqref="P32"/>
    </sheetView>
  </sheetViews>
  <sheetFormatPr defaultColWidth="8.72727272727273" defaultRowHeight="14"/>
  <cols>
    <col min="2" max="32" width="9.63636363636364" customWidth="1"/>
    <col min="33" max="33" width="12.8181818181818"/>
    <col min="35" max="35" width="12.8181818181818"/>
  </cols>
  <sheetData>
    <row r="1" customHeight="1"/>
    <row r="3" ht="20" spans="2:32">
      <c r="B3" s="125" t="s">
        <v>0</v>
      </c>
      <c r="C3" s="126" t="s">
        <v>1</v>
      </c>
      <c r="D3" s="127"/>
      <c r="E3" s="127"/>
      <c r="F3" s="127"/>
      <c r="G3" s="127"/>
      <c r="H3" s="128"/>
      <c r="I3" s="126" t="s">
        <v>2</v>
      </c>
      <c r="J3" s="127"/>
      <c r="K3" s="127"/>
      <c r="L3" s="127"/>
      <c r="M3" s="127"/>
      <c r="N3" s="129"/>
      <c r="O3" s="126" t="s">
        <v>3</v>
      </c>
      <c r="P3" s="127"/>
      <c r="Q3" s="127"/>
      <c r="R3" s="127"/>
      <c r="S3" s="127"/>
      <c r="T3" s="129"/>
      <c r="U3" s="126" t="s">
        <v>4</v>
      </c>
      <c r="V3" s="127"/>
      <c r="W3" s="127"/>
      <c r="X3" s="127"/>
      <c r="Y3" s="127"/>
      <c r="Z3" s="129"/>
      <c r="AA3" s="126" t="s">
        <v>5</v>
      </c>
      <c r="AB3" s="127"/>
      <c r="AC3" s="127"/>
      <c r="AD3" s="127"/>
      <c r="AE3" s="127"/>
      <c r="AF3" s="129"/>
    </row>
    <row r="4" ht="52" spans="2:32">
      <c r="B4" s="130"/>
      <c r="C4" s="131" t="s">
        <v>6</v>
      </c>
      <c r="D4" s="132" t="s">
        <v>7</v>
      </c>
      <c r="E4" s="132" t="s">
        <v>8</v>
      </c>
      <c r="F4" s="132" t="s">
        <v>9</v>
      </c>
      <c r="G4" s="132" t="s">
        <v>10</v>
      </c>
      <c r="H4" s="132" t="s">
        <v>11</v>
      </c>
      <c r="I4" s="133" t="s">
        <v>6</v>
      </c>
      <c r="J4" s="132" t="s">
        <v>7</v>
      </c>
      <c r="K4" s="132" t="s">
        <v>8</v>
      </c>
      <c r="L4" s="132" t="s">
        <v>9</v>
      </c>
      <c r="M4" s="132" t="s">
        <v>10</v>
      </c>
      <c r="N4" s="134" t="s">
        <v>11</v>
      </c>
      <c r="O4" s="133" t="s">
        <v>6</v>
      </c>
      <c r="P4" s="132" t="s">
        <v>7</v>
      </c>
      <c r="Q4" s="132" t="s">
        <v>8</v>
      </c>
      <c r="R4" s="132" t="s">
        <v>9</v>
      </c>
      <c r="S4" s="132" t="s">
        <v>10</v>
      </c>
      <c r="T4" s="134" t="s">
        <v>11</v>
      </c>
      <c r="U4" s="133" t="s">
        <v>6</v>
      </c>
      <c r="V4" s="132" t="s">
        <v>7</v>
      </c>
      <c r="W4" s="132" t="s">
        <v>8</v>
      </c>
      <c r="X4" s="132" t="s">
        <v>9</v>
      </c>
      <c r="Y4" s="132" t="s">
        <v>10</v>
      </c>
      <c r="Z4" s="134" t="s">
        <v>11</v>
      </c>
      <c r="AA4" s="133" t="s">
        <v>6</v>
      </c>
      <c r="AB4" s="132" t="s">
        <v>7</v>
      </c>
      <c r="AC4" s="132" t="s">
        <v>8</v>
      </c>
      <c r="AD4" s="132" t="s">
        <v>9</v>
      </c>
      <c r="AE4" s="132" t="s">
        <v>10</v>
      </c>
      <c r="AF4" s="134" t="s">
        <v>11</v>
      </c>
    </row>
    <row r="5" spans="2:32">
      <c r="B5" s="136" t="s">
        <v>12</v>
      </c>
      <c r="C5" s="137">
        <f>O38</f>
        <v>6</v>
      </c>
      <c r="D5" s="137">
        <f>R38</f>
        <v>6</v>
      </c>
      <c r="E5" s="138">
        <f>E38*100</f>
        <v>100</v>
      </c>
      <c r="F5" s="137">
        <f>P38</f>
        <v>6</v>
      </c>
      <c r="G5" s="137">
        <f>Q38</f>
        <v>6</v>
      </c>
      <c r="H5" s="138">
        <f>S38*100</f>
        <v>100</v>
      </c>
      <c r="I5" s="137">
        <f>O39</f>
        <v>8395</v>
      </c>
      <c r="J5" s="137">
        <f>R39</f>
        <v>8249</v>
      </c>
      <c r="K5" s="138">
        <f>E39*100</f>
        <v>98.2608695652174</v>
      </c>
      <c r="L5" s="137">
        <f>P39</f>
        <v>8369</v>
      </c>
      <c r="M5" s="137">
        <f>Q39</f>
        <v>8268</v>
      </c>
      <c r="N5" s="138">
        <f>S39*100</f>
        <v>98.7931652527184</v>
      </c>
      <c r="O5" s="137">
        <f>O40</f>
        <v>105789</v>
      </c>
      <c r="P5" s="137">
        <f>R40</f>
        <v>99869</v>
      </c>
      <c r="Q5" s="138">
        <f>E40*100</f>
        <v>94.4039550425848</v>
      </c>
      <c r="R5" s="137">
        <f>P40</f>
        <v>105229</v>
      </c>
      <c r="S5" s="137">
        <f>Q40</f>
        <v>89809</v>
      </c>
      <c r="T5" s="138">
        <f>S40*100</f>
        <v>85.3462448564559</v>
      </c>
      <c r="U5" s="137">
        <f>O41</f>
        <v>290800</v>
      </c>
      <c r="V5" s="137">
        <f>R41</f>
        <v>290800</v>
      </c>
      <c r="W5" s="138">
        <f>E41*100</f>
        <v>100</v>
      </c>
      <c r="X5" s="137">
        <f>P41</f>
        <v>286161</v>
      </c>
      <c r="Y5" s="137">
        <f>Q41</f>
        <v>122002</v>
      </c>
      <c r="Z5" s="138">
        <f>S41*100</f>
        <v>42.6340416758398</v>
      </c>
      <c r="AA5" s="137">
        <f>O42</f>
        <v>717373</v>
      </c>
      <c r="AB5" s="137">
        <f>R42</f>
        <v>717373</v>
      </c>
      <c r="AC5" s="138">
        <f>E42*100</f>
        <v>100</v>
      </c>
      <c r="AD5" s="137">
        <f>P42</f>
        <v>698618</v>
      </c>
      <c r="AE5" s="137">
        <f>Q42</f>
        <v>146707</v>
      </c>
      <c r="AF5" s="138">
        <f>S42*100</f>
        <v>20.9996020715183</v>
      </c>
    </row>
    <row r="6" spans="2:32">
      <c r="B6" s="140" t="s">
        <v>13</v>
      </c>
      <c r="C6" s="140">
        <f>O43</f>
        <v>4</v>
      </c>
      <c r="D6" s="140">
        <f>R43</f>
        <v>4</v>
      </c>
      <c r="E6" s="141">
        <f>E43*100</f>
        <v>100</v>
      </c>
      <c r="F6" s="140">
        <f>P43</f>
        <v>4</v>
      </c>
      <c r="G6" s="140">
        <f>Q43</f>
        <v>4</v>
      </c>
      <c r="H6" s="141">
        <f>S43*100</f>
        <v>100</v>
      </c>
      <c r="I6" s="140">
        <f>O44</f>
        <v>2887</v>
      </c>
      <c r="J6" s="140">
        <f>R44</f>
        <v>2864</v>
      </c>
      <c r="K6" s="141">
        <f>E44*100</f>
        <v>99.2033252511257</v>
      </c>
      <c r="L6" s="140">
        <f>P44</f>
        <v>2885</v>
      </c>
      <c r="M6" s="140">
        <f>Q44</f>
        <v>2869</v>
      </c>
      <c r="N6" s="141">
        <f>S44*100</f>
        <v>99.4454072790295</v>
      </c>
      <c r="O6" s="140">
        <f>O45</f>
        <v>30602</v>
      </c>
      <c r="P6" s="140">
        <f>R45</f>
        <v>27111</v>
      </c>
      <c r="Q6" s="141">
        <f>E45*100</f>
        <v>88.5922488726227</v>
      </c>
      <c r="R6" s="140">
        <f>P45</f>
        <v>30446</v>
      </c>
      <c r="S6" s="140">
        <f>Q45</f>
        <v>18503</v>
      </c>
      <c r="T6" s="141">
        <f>S45*100</f>
        <v>60.7731721736846</v>
      </c>
      <c r="U6" s="140">
        <f>O46</f>
        <v>73968</v>
      </c>
      <c r="V6" s="140">
        <f>R46</f>
        <v>73968</v>
      </c>
      <c r="W6" s="141">
        <f>E46*100</f>
        <v>100</v>
      </c>
      <c r="X6" s="140">
        <f>P46</f>
        <v>73224</v>
      </c>
      <c r="Y6" s="140">
        <f>Q46</f>
        <v>21041</v>
      </c>
      <c r="Z6" s="141">
        <f>S46*100</f>
        <v>28.7351141702174</v>
      </c>
      <c r="AA6" s="140">
        <f>O47</f>
        <v>141429</v>
      </c>
      <c r="AB6" s="140">
        <f>R47</f>
        <v>141429</v>
      </c>
      <c r="AC6" s="141">
        <f>E47*100</f>
        <v>100</v>
      </c>
      <c r="AD6" s="140">
        <f>P47</f>
        <v>138911</v>
      </c>
      <c r="AE6" s="140">
        <f>Q47</f>
        <v>1014</v>
      </c>
      <c r="AF6" s="141">
        <f>S47*100</f>
        <v>0.729963789764669</v>
      </c>
    </row>
    <row r="7" spans="2:32">
      <c r="B7" s="142" t="s">
        <v>14</v>
      </c>
      <c r="C7" s="142">
        <f>O48</f>
        <v>1</v>
      </c>
      <c r="D7" s="142">
        <f>R48</f>
        <v>1</v>
      </c>
      <c r="E7" s="143">
        <f>E48*100</f>
        <v>100</v>
      </c>
      <c r="F7" s="142">
        <f>P48</f>
        <v>1</v>
      </c>
      <c r="G7" s="142">
        <f>Q48</f>
        <v>1</v>
      </c>
      <c r="H7" s="143">
        <f>S48*100</f>
        <v>100</v>
      </c>
      <c r="I7" s="142">
        <f>O49</f>
        <v>2118</v>
      </c>
      <c r="J7" s="142">
        <f>R49</f>
        <v>2109</v>
      </c>
      <c r="K7" s="143">
        <f>E49*100</f>
        <v>99.5750708215297</v>
      </c>
      <c r="L7" s="142">
        <f>P49</f>
        <v>2116</v>
      </c>
      <c r="M7" s="142">
        <f>Q49</f>
        <v>2103</v>
      </c>
      <c r="N7" s="143">
        <f>S49*100</f>
        <v>99.3856332703214</v>
      </c>
      <c r="O7" s="142">
        <f>O50</f>
        <v>17554</v>
      </c>
      <c r="P7" s="142">
        <f>R50</f>
        <v>17312</v>
      </c>
      <c r="Q7" s="143">
        <f>E50*100</f>
        <v>98.6213968326307</v>
      </c>
      <c r="R7" s="142">
        <f>P50</f>
        <v>17452</v>
      </c>
      <c r="S7" s="142">
        <f>Q50</f>
        <v>17171</v>
      </c>
      <c r="T7" s="143">
        <f>S50*100</f>
        <v>98.3898693559478</v>
      </c>
      <c r="U7" s="142">
        <f>O51</f>
        <v>56073</v>
      </c>
      <c r="V7" s="142">
        <f>R51</f>
        <v>56073</v>
      </c>
      <c r="W7" s="143">
        <f>E51*100</f>
        <v>100</v>
      </c>
      <c r="X7" s="142">
        <f>P51</f>
        <v>54523</v>
      </c>
      <c r="Y7" s="142">
        <f>Q51</f>
        <v>17905</v>
      </c>
      <c r="Z7" s="143">
        <f>S51*100</f>
        <v>32.839352199989</v>
      </c>
      <c r="AA7" s="142">
        <f>O52</f>
        <v>143683</v>
      </c>
      <c r="AB7" s="142">
        <f>R52</f>
        <v>143683</v>
      </c>
      <c r="AC7" s="143">
        <f>E52*100</f>
        <v>100</v>
      </c>
      <c r="AD7" s="142">
        <f>P52</f>
        <v>137852</v>
      </c>
      <c r="AE7" s="142">
        <f>Q52</f>
        <v>12705</v>
      </c>
      <c r="AF7" s="143">
        <f>S52*100</f>
        <v>9.21640600063837</v>
      </c>
    </row>
    <row r="8" spans="2:32">
      <c r="B8" s="140" t="s">
        <v>15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f>O54</f>
        <v>605</v>
      </c>
      <c r="J8" s="140">
        <f>R54</f>
        <v>595</v>
      </c>
      <c r="K8" s="141">
        <f>E54*100</f>
        <v>98.3471074380165</v>
      </c>
      <c r="L8" s="140">
        <f>P54</f>
        <v>605</v>
      </c>
      <c r="M8" s="140">
        <f>Q54</f>
        <v>602</v>
      </c>
      <c r="N8" s="141">
        <f>S54*100</f>
        <v>99.504132231405</v>
      </c>
      <c r="O8" s="140">
        <f>O55</f>
        <v>15810</v>
      </c>
      <c r="P8" s="140">
        <f>R55</f>
        <v>15482</v>
      </c>
      <c r="Q8" s="141">
        <f>E55*100</f>
        <v>97.9253636938646</v>
      </c>
      <c r="R8" s="140">
        <f>P55</f>
        <v>15734</v>
      </c>
      <c r="S8" s="140">
        <f>Q55</f>
        <v>15293</v>
      </c>
      <c r="T8" s="141">
        <f>S55*100</f>
        <v>97.1971526630228</v>
      </c>
      <c r="U8" s="140">
        <f>O56</f>
        <v>26223</v>
      </c>
      <c r="V8" s="140">
        <f>R56</f>
        <v>26223</v>
      </c>
      <c r="W8" s="141">
        <f>E56*100</f>
        <v>100</v>
      </c>
      <c r="X8" s="140">
        <f>P56</f>
        <v>25931</v>
      </c>
      <c r="Y8" s="140">
        <f>Q56</f>
        <v>5238</v>
      </c>
      <c r="Z8" s="141">
        <f>S56*100</f>
        <v>20.1997609039374</v>
      </c>
      <c r="AA8" s="140">
        <f>O57</f>
        <v>76861</v>
      </c>
      <c r="AB8" s="140">
        <f>R57</f>
        <v>76861</v>
      </c>
      <c r="AC8" s="141">
        <f>E57*100</f>
        <v>100</v>
      </c>
      <c r="AD8" s="140">
        <f>P57</f>
        <v>75685</v>
      </c>
      <c r="AE8" s="140">
        <f>Q57</f>
        <v>3152</v>
      </c>
      <c r="AF8" s="141">
        <f>S57*100</f>
        <v>4.16462971526723</v>
      </c>
    </row>
    <row r="9" spans="2:32">
      <c r="B9" s="142" t="s">
        <v>16</v>
      </c>
      <c r="C9" s="142">
        <v>0</v>
      </c>
      <c r="D9" s="142">
        <v>0</v>
      </c>
      <c r="E9" s="142">
        <v>0</v>
      </c>
      <c r="F9" s="142">
        <v>0</v>
      </c>
      <c r="G9" s="142">
        <v>0</v>
      </c>
      <c r="H9" s="142">
        <v>0</v>
      </c>
      <c r="I9" s="142">
        <f>O59</f>
        <v>548</v>
      </c>
      <c r="J9" s="142">
        <f>R59</f>
        <v>504</v>
      </c>
      <c r="K9" s="143">
        <f>E59*100</f>
        <v>91.970802919708</v>
      </c>
      <c r="L9" s="142">
        <f>P59</f>
        <v>547</v>
      </c>
      <c r="M9" s="142">
        <f>Q59</f>
        <v>535</v>
      </c>
      <c r="N9" s="143">
        <f>S59*100</f>
        <v>97.8062157221207</v>
      </c>
      <c r="O9" s="142">
        <f>O60</f>
        <v>11747</v>
      </c>
      <c r="P9" s="142">
        <f>R60</f>
        <v>10451</v>
      </c>
      <c r="Q9" s="143">
        <f>E60*100</f>
        <v>88.967395930876</v>
      </c>
      <c r="R9" s="142">
        <f>P60</f>
        <v>11684</v>
      </c>
      <c r="S9" s="142">
        <f>Q60</f>
        <v>10904</v>
      </c>
      <c r="T9" s="143">
        <f>S60*100</f>
        <v>93.3242040397124</v>
      </c>
      <c r="U9" s="142">
        <f>O61</f>
        <v>25400</v>
      </c>
      <c r="V9" s="142">
        <f>R61</f>
        <v>25400</v>
      </c>
      <c r="W9" s="143">
        <f>E61*100</f>
        <v>100</v>
      </c>
      <c r="X9" s="142">
        <f>P61</f>
        <v>25128</v>
      </c>
      <c r="Y9" s="142">
        <f>Q61</f>
        <v>21257</v>
      </c>
      <c r="Z9" s="143">
        <f>S61*100</f>
        <v>84.5948742438714</v>
      </c>
      <c r="AA9" s="142">
        <f>O62</f>
        <v>83986</v>
      </c>
      <c r="AB9" s="142">
        <f>R62</f>
        <v>83986</v>
      </c>
      <c r="AC9" s="143">
        <f>E62*100</f>
        <v>100</v>
      </c>
      <c r="AD9" s="142">
        <f>P62</f>
        <v>82613</v>
      </c>
      <c r="AE9" s="142">
        <f>Q62</f>
        <v>61968</v>
      </c>
      <c r="AF9" s="143">
        <f>S62*100</f>
        <v>75.0099863217653</v>
      </c>
    </row>
    <row r="10" spans="2:32">
      <c r="B10" s="140" t="s">
        <v>17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f>O64</f>
        <v>284</v>
      </c>
      <c r="J10" s="140">
        <f>R64</f>
        <v>274</v>
      </c>
      <c r="K10" s="141">
        <f>E64*100</f>
        <v>96.4788732394366</v>
      </c>
      <c r="L10" s="140">
        <f>P64</f>
        <v>284</v>
      </c>
      <c r="M10" s="140">
        <f>Q64</f>
        <v>278</v>
      </c>
      <c r="N10" s="141">
        <f>S64*100</f>
        <v>97.887323943662</v>
      </c>
      <c r="O10" s="140">
        <f>O65</f>
        <v>6165</v>
      </c>
      <c r="P10" s="140">
        <f>R65</f>
        <v>5690</v>
      </c>
      <c r="Q10" s="141">
        <f>E65*100</f>
        <v>92.2952149229522</v>
      </c>
      <c r="R10" s="140">
        <f>P65</f>
        <v>6150</v>
      </c>
      <c r="S10" s="140">
        <f>Q65</f>
        <v>5455</v>
      </c>
      <c r="T10" s="141">
        <f>S65*100</f>
        <v>88.6991869918699</v>
      </c>
      <c r="U10" s="140">
        <f>O66</f>
        <v>12569</v>
      </c>
      <c r="V10" s="140">
        <f>R66</f>
        <v>12569</v>
      </c>
      <c r="W10" s="141">
        <f>E66*100</f>
        <v>100</v>
      </c>
      <c r="X10" s="140">
        <f>P66</f>
        <v>12519</v>
      </c>
      <c r="Y10" s="140">
        <f>Q66</f>
        <v>8482</v>
      </c>
      <c r="Z10" s="141">
        <f>S66*100</f>
        <v>67.7530154165668</v>
      </c>
      <c r="AA10" s="140">
        <f>O67</f>
        <v>37019</v>
      </c>
      <c r="AB10" s="140">
        <f>R67</f>
        <v>37019</v>
      </c>
      <c r="AC10" s="141">
        <f>E67*100</f>
        <v>100</v>
      </c>
      <c r="AD10" s="140">
        <f>P67</f>
        <v>36556</v>
      </c>
      <c r="AE10" s="140">
        <f>Q67</f>
        <v>10098</v>
      </c>
      <c r="AF10" s="141">
        <f>S67*100</f>
        <v>27.6233723602145</v>
      </c>
    </row>
    <row r="11" spans="2:32">
      <c r="B11" s="142" t="s">
        <v>18</v>
      </c>
      <c r="C11" s="142">
        <v>0</v>
      </c>
      <c r="D11" s="142">
        <v>0</v>
      </c>
      <c r="E11" s="142">
        <v>0</v>
      </c>
      <c r="F11" s="142">
        <v>0</v>
      </c>
      <c r="G11" s="142">
        <v>0</v>
      </c>
      <c r="H11" s="142">
        <v>0</v>
      </c>
      <c r="I11" s="142">
        <f>O69</f>
        <v>178</v>
      </c>
      <c r="J11" s="142">
        <f>R69</f>
        <v>160</v>
      </c>
      <c r="K11" s="143">
        <f>E69*100</f>
        <v>89.8876404494382</v>
      </c>
      <c r="L11" s="142">
        <f>P69</f>
        <v>178</v>
      </c>
      <c r="M11" s="142">
        <f>Q69</f>
        <v>178</v>
      </c>
      <c r="N11" s="143">
        <f>S69*100</f>
        <v>100</v>
      </c>
      <c r="O11" s="142">
        <f>O70</f>
        <v>5380</v>
      </c>
      <c r="P11" s="142">
        <f>R70</f>
        <v>5107</v>
      </c>
      <c r="Q11" s="143">
        <f>E70*100</f>
        <v>94.9256505576208</v>
      </c>
      <c r="R11" s="142">
        <f>P70</f>
        <v>5360</v>
      </c>
      <c r="S11" s="142">
        <f>Q70</f>
        <v>5278</v>
      </c>
      <c r="T11" s="143">
        <f>S70*100</f>
        <v>98.4701492537313</v>
      </c>
      <c r="U11" s="142">
        <f>O71</f>
        <v>13464</v>
      </c>
      <c r="V11" s="142">
        <f>R71</f>
        <v>13464</v>
      </c>
      <c r="W11" s="143">
        <f>E71*100</f>
        <v>100</v>
      </c>
      <c r="X11" s="142">
        <f>P71</f>
        <v>13376</v>
      </c>
      <c r="Y11" s="142">
        <f>Q71</f>
        <v>7898</v>
      </c>
      <c r="Z11" s="143">
        <f>S71*100</f>
        <v>59.046052631579</v>
      </c>
      <c r="AA11" s="142">
        <f>O72</f>
        <v>44128</v>
      </c>
      <c r="AB11" s="142">
        <f>R72</f>
        <v>44128</v>
      </c>
      <c r="AC11" s="143">
        <f>E72*100</f>
        <v>100</v>
      </c>
      <c r="AD11" s="142">
        <f>P72</f>
        <v>43284</v>
      </c>
      <c r="AE11" s="142">
        <f>Q72</f>
        <v>15807</v>
      </c>
      <c r="AF11" s="143">
        <f>S72*100</f>
        <v>36.5192680898253</v>
      </c>
    </row>
    <row r="12" spans="2:32">
      <c r="B12" s="140" t="s">
        <v>19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f>O74</f>
        <v>189</v>
      </c>
      <c r="J12" s="140">
        <f>R74</f>
        <v>185</v>
      </c>
      <c r="K12" s="141">
        <f>E74*100</f>
        <v>97.8835978835979</v>
      </c>
      <c r="L12" s="140">
        <f>P74</f>
        <v>185</v>
      </c>
      <c r="M12" s="140">
        <f>Q74</f>
        <v>179</v>
      </c>
      <c r="N12" s="141">
        <f>S74*100</f>
        <v>96.7567567567568</v>
      </c>
      <c r="O12" s="140">
        <f>O75</f>
        <v>4105</v>
      </c>
      <c r="P12" s="140">
        <f>R75</f>
        <v>3918</v>
      </c>
      <c r="Q12" s="141">
        <f>E75*100</f>
        <v>95.4445797807552</v>
      </c>
      <c r="R12" s="140">
        <f>P75</f>
        <v>4069</v>
      </c>
      <c r="S12" s="140">
        <f>Q75</f>
        <v>3440</v>
      </c>
      <c r="T12" s="141">
        <f>S75*100</f>
        <v>84.5416564266405</v>
      </c>
      <c r="U12" s="140">
        <f>O76</f>
        <v>8937</v>
      </c>
      <c r="V12" s="140">
        <f>R76</f>
        <v>8937</v>
      </c>
      <c r="W12" s="141">
        <f>E76*100</f>
        <v>100</v>
      </c>
      <c r="X12" s="140">
        <f>P76</f>
        <v>8831</v>
      </c>
      <c r="Y12" s="140">
        <f>Q76</f>
        <v>6191</v>
      </c>
      <c r="Z12" s="141">
        <f>S76*100</f>
        <v>70.1053108368248</v>
      </c>
      <c r="AA12" s="140">
        <f>O77</f>
        <v>28562</v>
      </c>
      <c r="AB12" s="140">
        <f>R77</f>
        <v>28562</v>
      </c>
      <c r="AC12" s="141">
        <f>E77*100</f>
        <v>100</v>
      </c>
      <c r="AD12" s="140">
        <f>P77</f>
        <v>27819</v>
      </c>
      <c r="AE12" s="140">
        <f>Q77</f>
        <v>10727</v>
      </c>
      <c r="AF12" s="141">
        <f>S77*100</f>
        <v>38.5599769941407</v>
      </c>
    </row>
    <row r="13" spans="2:32">
      <c r="B13" s="142" t="s">
        <v>20</v>
      </c>
      <c r="C13" s="142">
        <v>0</v>
      </c>
      <c r="D13" s="142">
        <v>0</v>
      </c>
      <c r="E13" s="142">
        <v>0</v>
      </c>
      <c r="F13" s="142">
        <v>0</v>
      </c>
      <c r="G13" s="142">
        <v>0</v>
      </c>
      <c r="H13" s="142">
        <v>0</v>
      </c>
      <c r="I13" s="142">
        <f>O79</f>
        <v>371</v>
      </c>
      <c r="J13" s="142">
        <f>R79</f>
        <v>368</v>
      </c>
      <c r="K13" s="143">
        <f>E79*100</f>
        <v>99.1913746630728</v>
      </c>
      <c r="L13" s="142">
        <f>P79</f>
        <v>371</v>
      </c>
      <c r="M13" s="142">
        <f>Q79</f>
        <v>364</v>
      </c>
      <c r="N13" s="143">
        <f>S79*100</f>
        <v>98.1132075471698</v>
      </c>
      <c r="O13" s="142">
        <f>O80</f>
        <v>4055</v>
      </c>
      <c r="P13" s="142">
        <f>R80</f>
        <v>3906</v>
      </c>
      <c r="Q13" s="143">
        <f>E80*100</f>
        <v>96.3255240443896</v>
      </c>
      <c r="R13" s="142">
        <f>P80</f>
        <v>4052</v>
      </c>
      <c r="S13" s="142">
        <f>Q80</f>
        <v>3777</v>
      </c>
      <c r="T13" s="143">
        <f>S80*100</f>
        <v>93.213228035538</v>
      </c>
      <c r="U13" s="142">
        <f>O81</f>
        <v>8820</v>
      </c>
      <c r="V13" s="142">
        <f>R81</f>
        <v>8820</v>
      </c>
      <c r="W13" s="143">
        <f>E81*100</f>
        <v>100</v>
      </c>
      <c r="X13" s="142">
        <f>P81</f>
        <v>8728</v>
      </c>
      <c r="Y13" s="142">
        <f>Q81</f>
        <v>3597</v>
      </c>
      <c r="Z13" s="143">
        <f>S81*100</f>
        <v>41.2121906507791</v>
      </c>
      <c r="AA13" s="142">
        <f>O82</f>
        <v>20548</v>
      </c>
      <c r="AB13" s="142">
        <f>R82</f>
        <v>20548</v>
      </c>
      <c r="AC13" s="143">
        <f>E82*100</f>
        <v>100</v>
      </c>
      <c r="AD13" s="142">
        <f>P82</f>
        <v>20107</v>
      </c>
      <c r="AE13" s="142">
        <f>Q82</f>
        <v>3723</v>
      </c>
      <c r="AF13" s="143">
        <f>S82*100</f>
        <v>18.5159397224847</v>
      </c>
    </row>
    <row r="14" spans="2:32">
      <c r="B14" s="140" t="s">
        <v>21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f>O84</f>
        <v>173</v>
      </c>
      <c r="J14" s="140">
        <f>R84</f>
        <v>171</v>
      </c>
      <c r="K14" s="141">
        <f>E84*100</f>
        <v>98.8439306358381</v>
      </c>
      <c r="L14" s="140">
        <f>P84</f>
        <v>173</v>
      </c>
      <c r="M14" s="140">
        <f>Q84</f>
        <v>154</v>
      </c>
      <c r="N14" s="141">
        <f>S84*100</f>
        <v>89.0173410404624</v>
      </c>
      <c r="O14" s="140">
        <f>O85</f>
        <v>2412</v>
      </c>
      <c r="P14" s="140">
        <f>R85</f>
        <v>2342</v>
      </c>
      <c r="Q14" s="141">
        <f>E85*100</f>
        <v>97.0978441127695</v>
      </c>
      <c r="R14" s="140">
        <f>P85</f>
        <v>2404</v>
      </c>
      <c r="S14" s="140">
        <f>Q85</f>
        <v>1904</v>
      </c>
      <c r="T14" s="141">
        <f>S85*100</f>
        <v>79.2013311148087</v>
      </c>
      <c r="U14" s="140">
        <f>O86</f>
        <v>7816</v>
      </c>
      <c r="V14" s="140">
        <f>R86</f>
        <v>7816</v>
      </c>
      <c r="W14" s="141">
        <f>E86*100</f>
        <v>100</v>
      </c>
      <c r="X14" s="140">
        <f>P86</f>
        <v>7711</v>
      </c>
      <c r="Y14" s="140">
        <f>Q86</f>
        <v>2989</v>
      </c>
      <c r="Z14" s="141">
        <f>S86*100</f>
        <v>38.7628063804954</v>
      </c>
      <c r="AA14" s="140">
        <f>O87</f>
        <v>11964</v>
      </c>
      <c r="AB14" s="140">
        <f>R87</f>
        <v>11964</v>
      </c>
      <c r="AC14" s="141">
        <f>E87*100</f>
        <v>100</v>
      </c>
      <c r="AD14" s="140">
        <f>P87</f>
        <v>11609</v>
      </c>
      <c r="AE14" s="140">
        <f>Q87</f>
        <v>825</v>
      </c>
      <c r="AF14" s="141">
        <f>S87*100</f>
        <v>7.10655525885089</v>
      </c>
    </row>
    <row r="15" spans="2:32">
      <c r="B15" s="142" t="s">
        <v>22</v>
      </c>
      <c r="C15" s="142">
        <v>0</v>
      </c>
      <c r="D15" s="142">
        <v>0</v>
      </c>
      <c r="E15" s="142">
        <v>0</v>
      </c>
      <c r="F15" s="142">
        <v>0</v>
      </c>
      <c r="G15" s="142">
        <v>0</v>
      </c>
      <c r="H15" s="142">
        <v>0</v>
      </c>
      <c r="I15" s="142">
        <f>O89</f>
        <v>62</v>
      </c>
      <c r="J15" s="142">
        <f>R89</f>
        <v>53</v>
      </c>
      <c r="K15" s="143">
        <f>E89*100</f>
        <v>85.4838709677419</v>
      </c>
      <c r="L15" s="142">
        <f>P89</f>
        <v>62</v>
      </c>
      <c r="M15" s="142">
        <f>Q89</f>
        <v>62</v>
      </c>
      <c r="N15" s="143">
        <f>S89*100</f>
        <v>100</v>
      </c>
      <c r="O15" s="142">
        <f>O90</f>
        <v>1387</v>
      </c>
      <c r="P15" s="142">
        <f>R90</f>
        <v>1013</v>
      </c>
      <c r="Q15" s="143">
        <f>E90*100</f>
        <v>73.0353280461428</v>
      </c>
      <c r="R15" s="142">
        <f>P90</f>
        <v>1384</v>
      </c>
      <c r="S15" s="142">
        <f>Q90</f>
        <v>1333</v>
      </c>
      <c r="T15" s="143">
        <f>S90*100</f>
        <v>96.3150289017341</v>
      </c>
      <c r="U15" s="142">
        <f>O91</f>
        <v>5277</v>
      </c>
      <c r="V15" s="142">
        <f>R91</f>
        <v>5277</v>
      </c>
      <c r="W15" s="143">
        <f>E91*100</f>
        <v>100</v>
      </c>
      <c r="X15" s="142">
        <f>P91</f>
        <v>5139</v>
      </c>
      <c r="Y15" s="142">
        <f>Q91</f>
        <v>3352</v>
      </c>
      <c r="Z15" s="143">
        <f>S91*100</f>
        <v>65.2266978011286</v>
      </c>
      <c r="AA15" s="142">
        <f>O92</f>
        <v>9132</v>
      </c>
      <c r="AB15" s="142">
        <f>R92</f>
        <v>9132</v>
      </c>
      <c r="AC15" s="143">
        <f>E92*100</f>
        <v>100</v>
      </c>
      <c r="AD15" s="142">
        <f>P92</f>
        <v>8625</v>
      </c>
      <c r="AE15" s="142">
        <f>Q92</f>
        <v>2076</v>
      </c>
      <c r="AF15" s="143">
        <f>S92*100</f>
        <v>24.0695652173913</v>
      </c>
    </row>
    <row r="16" spans="2:32">
      <c r="B16" s="140" t="s">
        <v>23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f>O94</f>
        <v>44</v>
      </c>
      <c r="J16" s="140">
        <f>R94</f>
        <v>44</v>
      </c>
      <c r="K16" s="141">
        <f>E94*100</f>
        <v>100</v>
      </c>
      <c r="L16" s="140">
        <f>P94</f>
        <v>44</v>
      </c>
      <c r="M16" s="140">
        <f>Q94</f>
        <v>44</v>
      </c>
      <c r="N16" s="141">
        <f>S94*100</f>
        <v>100</v>
      </c>
      <c r="O16" s="140">
        <f>O95</f>
        <v>1049</v>
      </c>
      <c r="P16" s="140">
        <f>R95</f>
        <v>989</v>
      </c>
      <c r="Q16" s="141">
        <f>E95*100</f>
        <v>94.280266920877</v>
      </c>
      <c r="R16" s="140">
        <f>P95</f>
        <v>1024</v>
      </c>
      <c r="S16" s="140">
        <f>Q95</f>
        <v>912</v>
      </c>
      <c r="T16" s="141">
        <f>S95*100</f>
        <v>89.0625</v>
      </c>
      <c r="U16" s="140">
        <f>O96</f>
        <v>3015</v>
      </c>
      <c r="V16" s="140">
        <f>R96</f>
        <v>3015</v>
      </c>
      <c r="W16" s="141">
        <f>E96*100</f>
        <v>100</v>
      </c>
      <c r="X16" s="140">
        <f>P96</f>
        <v>2894</v>
      </c>
      <c r="Y16" s="140">
        <f>Q96</f>
        <v>1161</v>
      </c>
      <c r="Z16" s="141">
        <f>S96*100</f>
        <v>40.1174844505874</v>
      </c>
      <c r="AA16" s="140">
        <f>O97</f>
        <v>5621</v>
      </c>
      <c r="AB16" s="140">
        <f>R97</f>
        <v>5621</v>
      </c>
      <c r="AC16" s="141">
        <f>E97*100</f>
        <v>100</v>
      </c>
      <c r="AD16" s="140">
        <f>P97</f>
        <v>5320</v>
      </c>
      <c r="AE16" s="140">
        <f>Q97</f>
        <v>516</v>
      </c>
      <c r="AF16" s="141">
        <f>S97*100</f>
        <v>9.69924812030075</v>
      </c>
    </row>
    <row r="17" spans="2:32">
      <c r="B17" s="142" t="s">
        <v>24</v>
      </c>
      <c r="C17" s="142">
        <v>0</v>
      </c>
      <c r="D17" s="142">
        <v>0</v>
      </c>
      <c r="E17" s="142">
        <v>0</v>
      </c>
      <c r="F17" s="142">
        <v>0</v>
      </c>
      <c r="G17" s="142">
        <v>0</v>
      </c>
      <c r="H17" s="142">
        <v>0</v>
      </c>
      <c r="I17" s="142">
        <f>O99</f>
        <v>11</v>
      </c>
      <c r="J17" s="142">
        <f>R99</f>
        <v>11</v>
      </c>
      <c r="K17" s="143">
        <f>E99*100</f>
        <v>100</v>
      </c>
      <c r="L17" s="142">
        <f>P99</f>
        <v>11</v>
      </c>
      <c r="M17" s="142">
        <f>Q99</f>
        <v>11</v>
      </c>
      <c r="N17" s="143">
        <f>S99*100</f>
        <v>100</v>
      </c>
      <c r="O17" s="142">
        <f>O100</f>
        <v>622</v>
      </c>
      <c r="P17" s="142">
        <f>R100</f>
        <v>603</v>
      </c>
      <c r="Q17" s="143">
        <f>E100*100</f>
        <v>96.9453376205788</v>
      </c>
      <c r="R17" s="142">
        <f>P100</f>
        <v>620</v>
      </c>
      <c r="S17" s="142">
        <f>Q100</f>
        <v>608</v>
      </c>
      <c r="T17" s="143">
        <f>S100*100</f>
        <v>98.0645161290323</v>
      </c>
      <c r="U17" s="142">
        <f>O101</f>
        <v>3322</v>
      </c>
      <c r="V17" s="142">
        <f>R101</f>
        <v>3322</v>
      </c>
      <c r="W17" s="143">
        <f>E101*100</f>
        <v>100</v>
      </c>
      <c r="X17" s="142">
        <f>P101</f>
        <v>3246</v>
      </c>
      <c r="Y17" s="142">
        <f>Q101</f>
        <v>1300</v>
      </c>
      <c r="Z17" s="143">
        <f>S101*100</f>
        <v>40.0492914356131</v>
      </c>
      <c r="AA17" s="142">
        <f>O102</f>
        <v>6592</v>
      </c>
      <c r="AB17" s="142">
        <f>R102</f>
        <v>6592</v>
      </c>
      <c r="AC17" s="143">
        <f>E102*100</f>
        <v>100</v>
      </c>
      <c r="AD17" s="142">
        <f>P102</f>
        <v>6165</v>
      </c>
      <c r="AE17" s="142">
        <f>Q102</f>
        <v>713</v>
      </c>
      <c r="AF17" s="143">
        <f>S102*100</f>
        <v>11.5652879156529</v>
      </c>
    </row>
    <row r="18" spans="2:32">
      <c r="B18" s="140" t="s">
        <v>25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f>O104</f>
        <v>39</v>
      </c>
      <c r="J18" s="140">
        <f>R104</f>
        <v>37</v>
      </c>
      <c r="K18" s="141">
        <f>E104*100</f>
        <v>94.8717948717949</v>
      </c>
      <c r="L18" s="140">
        <f>P104</f>
        <v>39</v>
      </c>
      <c r="M18" s="140">
        <f>Q104</f>
        <v>39</v>
      </c>
      <c r="N18" s="141">
        <f>S104*100</f>
        <v>100</v>
      </c>
      <c r="O18" s="140">
        <f>O105</f>
        <v>1316</v>
      </c>
      <c r="P18" s="140">
        <f>R105</f>
        <v>1186</v>
      </c>
      <c r="Q18" s="141">
        <f>E105*100</f>
        <v>90.1215805471125</v>
      </c>
      <c r="R18" s="140">
        <f>P105</f>
        <v>1308</v>
      </c>
      <c r="S18" s="140">
        <f>Q105</f>
        <v>1125</v>
      </c>
      <c r="T18" s="141">
        <f>S105*100</f>
        <v>86.0091743119266</v>
      </c>
      <c r="U18" s="140">
        <f>O106</f>
        <v>8289</v>
      </c>
      <c r="V18" s="140">
        <f>R106</f>
        <v>8289</v>
      </c>
      <c r="W18" s="141">
        <f>E106*100</f>
        <v>100</v>
      </c>
      <c r="X18" s="140">
        <f>P106</f>
        <v>8047</v>
      </c>
      <c r="Y18" s="140">
        <f>Q106</f>
        <v>4291</v>
      </c>
      <c r="Z18" s="141">
        <f>S106*100</f>
        <v>53.3242202062881</v>
      </c>
      <c r="AA18" s="140">
        <f>O107</f>
        <v>15778</v>
      </c>
      <c r="AB18" s="140">
        <f>R107</f>
        <v>15778</v>
      </c>
      <c r="AC18" s="141">
        <f>E107*100</f>
        <v>100</v>
      </c>
      <c r="AD18" s="140">
        <f>P107</f>
        <v>15426</v>
      </c>
      <c r="AE18" s="140">
        <f>Q107</f>
        <v>4457</v>
      </c>
      <c r="AF18" s="141">
        <f>S107*100</f>
        <v>28.892778426034</v>
      </c>
    </row>
    <row r="19" spans="2:32">
      <c r="B19" s="142" t="s">
        <v>26</v>
      </c>
      <c r="C19" s="142">
        <v>0</v>
      </c>
      <c r="D19" s="142">
        <v>0</v>
      </c>
      <c r="E19" s="142">
        <v>0</v>
      </c>
      <c r="F19" s="142">
        <v>0</v>
      </c>
      <c r="G19" s="142">
        <v>0</v>
      </c>
      <c r="H19" s="142">
        <v>0</v>
      </c>
      <c r="I19" s="142">
        <f>O109</f>
        <v>61</v>
      </c>
      <c r="J19" s="142">
        <f>R109</f>
        <v>50</v>
      </c>
      <c r="K19" s="143">
        <f>E109*100</f>
        <v>81.9672131147541</v>
      </c>
      <c r="L19" s="142">
        <f>P109</f>
        <v>61</v>
      </c>
      <c r="M19" s="142">
        <f>Q109</f>
        <v>52</v>
      </c>
      <c r="N19" s="143">
        <f>S109*100</f>
        <v>85.2459016393443</v>
      </c>
      <c r="O19" s="142">
        <f>O110</f>
        <v>1879</v>
      </c>
      <c r="P19" s="142">
        <f>R110</f>
        <v>1522</v>
      </c>
      <c r="Q19" s="143">
        <f>E110*100</f>
        <v>81.0005321979776</v>
      </c>
      <c r="R19" s="142">
        <f>P110</f>
        <v>1863</v>
      </c>
      <c r="S19" s="142">
        <f>Q110</f>
        <v>1081</v>
      </c>
      <c r="T19" s="143">
        <f>S110*100</f>
        <v>58.0246913580247</v>
      </c>
      <c r="U19" s="142">
        <f>O111</f>
        <v>8149</v>
      </c>
      <c r="V19" s="142">
        <f>R111</f>
        <v>8149</v>
      </c>
      <c r="W19" s="143">
        <f>E111*100</f>
        <v>100</v>
      </c>
      <c r="X19" s="142">
        <f>P111</f>
        <v>7937</v>
      </c>
      <c r="Y19" s="142">
        <f>Q111</f>
        <v>2163</v>
      </c>
      <c r="Z19" s="143">
        <f>S111*100</f>
        <v>27.2521103691571</v>
      </c>
      <c r="AA19" s="142">
        <f>O112</f>
        <v>14418</v>
      </c>
      <c r="AB19" s="142">
        <f>R112</f>
        <v>14418</v>
      </c>
      <c r="AC19" s="143">
        <f>E112*100</f>
        <v>100</v>
      </c>
      <c r="AD19" s="142">
        <f>P112</f>
        <v>13949</v>
      </c>
      <c r="AE19" s="142">
        <f>Q112</f>
        <v>1062</v>
      </c>
      <c r="AF19" s="143">
        <f>S112*100</f>
        <v>7.61344899275934</v>
      </c>
    </row>
    <row r="20" spans="2:32">
      <c r="B20" s="140" t="s">
        <v>27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f>O114</f>
        <v>24</v>
      </c>
      <c r="J20" s="140">
        <f>R114</f>
        <v>18</v>
      </c>
      <c r="K20" s="141">
        <f>E114*100</f>
        <v>75</v>
      </c>
      <c r="L20" s="140">
        <f>P114</f>
        <v>24</v>
      </c>
      <c r="M20" s="140">
        <f>Q114</f>
        <v>24</v>
      </c>
      <c r="N20" s="141">
        <f>S114*100</f>
        <v>100</v>
      </c>
      <c r="O20" s="140">
        <f>O115</f>
        <v>1311</v>
      </c>
      <c r="P20" s="140">
        <f>R115</f>
        <v>1183</v>
      </c>
      <c r="Q20" s="141">
        <f>E115*100</f>
        <v>90.2364607170099</v>
      </c>
      <c r="R20" s="140">
        <f>P115</f>
        <v>1307</v>
      </c>
      <c r="S20" s="140">
        <f>Q115</f>
        <v>1067</v>
      </c>
      <c r="T20" s="141">
        <f>S115*100</f>
        <v>81.637337413925</v>
      </c>
      <c r="U20" s="140">
        <f>O116</f>
        <v>3787</v>
      </c>
      <c r="V20" s="140">
        <f>R116</f>
        <v>3787</v>
      </c>
      <c r="W20" s="141">
        <f>E116*100</f>
        <v>100</v>
      </c>
      <c r="X20" s="140">
        <f>P116</f>
        <v>3745</v>
      </c>
      <c r="Y20" s="140">
        <f>Q116</f>
        <v>2535</v>
      </c>
      <c r="Z20" s="141">
        <f>S116*100</f>
        <v>67.6902536715621</v>
      </c>
      <c r="AA20" s="140">
        <f>O117</f>
        <v>9495</v>
      </c>
      <c r="AB20" s="140">
        <f>R117</f>
        <v>9495</v>
      </c>
      <c r="AC20" s="141">
        <f>E117*100</f>
        <v>100</v>
      </c>
      <c r="AD20" s="140">
        <f>P117</f>
        <v>9287</v>
      </c>
      <c r="AE20" s="140">
        <f>Q117</f>
        <v>4499</v>
      </c>
      <c r="AF20" s="141">
        <f>S117*100</f>
        <v>48.444061591472</v>
      </c>
    </row>
    <row r="21" spans="2:32">
      <c r="B21" s="142" t="s">
        <v>28</v>
      </c>
      <c r="C21" s="142">
        <v>0</v>
      </c>
      <c r="D21" s="142">
        <v>0</v>
      </c>
      <c r="E21" s="142">
        <v>0</v>
      </c>
      <c r="F21" s="142">
        <v>0</v>
      </c>
      <c r="G21" s="142">
        <v>0</v>
      </c>
      <c r="H21" s="142">
        <v>0</v>
      </c>
      <c r="I21" s="142">
        <f>O119</f>
        <v>38</v>
      </c>
      <c r="J21" s="142">
        <f>R119</f>
        <v>35</v>
      </c>
      <c r="K21" s="143">
        <f>E119*100</f>
        <v>92.1052631578947</v>
      </c>
      <c r="L21" s="142">
        <f>P119</f>
        <v>38</v>
      </c>
      <c r="M21" s="142">
        <f>Q119</f>
        <v>38</v>
      </c>
      <c r="N21" s="143">
        <f>S119*100</f>
        <v>100</v>
      </c>
      <c r="O21" s="142">
        <f>O120</f>
        <v>989</v>
      </c>
      <c r="P21" s="142">
        <f>R120</f>
        <v>941</v>
      </c>
      <c r="Q21" s="143">
        <f>E120*100</f>
        <v>95.1466127401416</v>
      </c>
      <c r="R21" s="142">
        <f>P120</f>
        <v>989</v>
      </c>
      <c r="S21" s="142">
        <f>Q120</f>
        <v>854</v>
      </c>
      <c r="T21" s="143">
        <f>S120*100</f>
        <v>86.3498483316481</v>
      </c>
      <c r="U21" s="142">
        <f>O121</f>
        <v>3333</v>
      </c>
      <c r="V21" s="142">
        <f>R121</f>
        <v>3333</v>
      </c>
      <c r="W21" s="143">
        <f>E121*100</f>
        <v>100</v>
      </c>
      <c r="X21" s="142">
        <f>P121</f>
        <v>3285</v>
      </c>
      <c r="Y21" s="142">
        <f>Q121</f>
        <v>1178</v>
      </c>
      <c r="Z21" s="143">
        <f>S121*100</f>
        <v>35.8599695585997</v>
      </c>
      <c r="AA21" s="142">
        <f>O122</f>
        <v>7491</v>
      </c>
      <c r="AB21" s="142">
        <f>R122</f>
        <v>7491</v>
      </c>
      <c r="AC21" s="143">
        <f>E122*100</f>
        <v>100</v>
      </c>
      <c r="AD21" s="142">
        <f>P122</f>
        <v>7296</v>
      </c>
      <c r="AE21" s="142">
        <f>Q122</f>
        <v>616</v>
      </c>
      <c r="AF21" s="143">
        <f>S122*100</f>
        <v>8.44298245614035</v>
      </c>
    </row>
    <row r="22" spans="2:32">
      <c r="B22" s="140" t="s">
        <v>29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f>O124</f>
        <v>85</v>
      </c>
      <c r="J22" s="140">
        <f>R124</f>
        <v>85</v>
      </c>
      <c r="K22" s="141">
        <f>E124*100</f>
        <v>100</v>
      </c>
      <c r="L22" s="140">
        <f>P124</f>
        <v>85</v>
      </c>
      <c r="M22" s="140">
        <f>Q124</f>
        <v>85</v>
      </c>
      <c r="N22" s="141">
        <f>S124*100</f>
        <v>100</v>
      </c>
      <c r="O22" s="140">
        <f>O125</f>
        <v>2219</v>
      </c>
      <c r="P22" s="140">
        <f>R125</f>
        <v>2208</v>
      </c>
      <c r="Q22" s="141">
        <f>E125*100</f>
        <v>99.5042812077512</v>
      </c>
      <c r="R22" s="140">
        <f>P125</f>
        <v>2209</v>
      </c>
      <c r="S22" s="140">
        <f>Q125</f>
        <v>2187</v>
      </c>
      <c r="T22" s="141">
        <f>S125*100</f>
        <v>99.0040742417383</v>
      </c>
      <c r="U22" s="140">
        <f>O126</f>
        <v>6085</v>
      </c>
      <c r="V22" s="140">
        <f>R126</f>
        <v>6085</v>
      </c>
      <c r="W22" s="141">
        <f>E126*100</f>
        <v>100</v>
      </c>
      <c r="X22" s="140">
        <f>P126</f>
        <v>5989</v>
      </c>
      <c r="Y22" s="140">
        <f>Q126</f>
        <v>2010</v>
      </c>
      <c r="Z22" s="141">
        <f>S126*100</f>
        <v>33.5615294706963</v>
      </c>
      <c r="AA22" s="140">
        <f>O127</f>
        <v>15566</v>
      </c>
      <c r="AB22" s="140">
        <f>R127</f>
        <v>15566</v>
      </c>
      <c r="AC22" s="141">
        <f>E127*100</f>
        <v>100</v>
      </c>
      <c r="AD22" s="140">
        <f>P127</f>
        <v>15209</v>
      </c>
      <c r="AE22" s="140">
        <f>Q127</f>
        <v>1366</v>
      </c>
      <c r="AF22" s="141">
        <f>S127*100</f>
        <v>8.98152409757381</v>
      </c>
    </row>
    <row r="23" spans="2:32">
      <c r="B23" s="142" t="s">
        <v>30</v>
      </c>
      <c r="C23" s="142">
        <v>0</v>
      </c>
      <c r="D23" s="142">
        <v>0</v>
      </c>
      <c r="E23" s="142">
        <v>0</v>
      </c>
      <c r="F23" s="142">
        <v>0</v>
      </c>
      <c r="G23" s="142">
        <v>0</v>
      </c>
      <c r="H23" s="142">
        <v>0</v>
      </c>
      <c r="I23" s="142">
        <f>O129</f>
        <v>112</v>
      </c>
      <c r="J23" s="142">
        <f>R129</f>
        <v>108</v>
      </c>
      <c r="K23" s="143">
        <f>E129*100</f>
        <v>96.4285714285714</v>
      </c>
      <c r="L23" s="142">
        <f>P129</f>
        <v>112</v>
      </c>
      <c r="M23" s="142">
        <f>Q129</f>
        <v>110</v>
      </c>
      <c r="N23" s="143">
        <f>S129*100</f>
        <v>98.2142857142857</v>
      </c>
      <c r="O23" s="142">
        <f>O130</f>
        <v>2278</v>
      </c>
      <c r="P23" s="142">
        <f>R130</f>
        <v>2123</v>
      </c>
      <c r="Q23" s="143">
        <f>E130*100</f>
        <v>93.1957857769974</v>
      </c>
      <c r="R23" s="142">
        <f>P130</f>
        <v>2273</v>
      </c>
      <c r="S23" s="142">
        <f>Q130</f>
        <v>1881</v>
      </c>
      <c r="T23" s="143">
        <f>S130*100</f>
        <v>82.7540695116586</v>
      </c>
      <c r="U23" s="142">
        <f>O131</f>
        <v>6121</v>
      </c>
      <c r="V23" s="142">
        <f>R131</f>
        <v>6121</v>
      </c>
      <c r="W23" s="143">
        <f>E131*100</f>
        <v>100</v>
      </c>
      <c r="X23" s="142">
        <f>P131</f>
        <v>5942</v>
      </c>
      <c r="Y23" s="142">
        <f>Q131</f>
        <v>2965</v>
      </c>
      <c r="Z23" s="143">
        <f>S131*100</f>
        <v>49.8990238976776</v>
      </c>
      <c r="AA23" s="142">
        <f>O132</f>
        <v>13183</v>
      </c>
      <c r="AB23" s="142">
        <f>R132</f>
        <v>13183</v>
      </c>
      <c r="AC23" s="143">
        <f>E132*100</f>
        <v>100</v>
      </c>
      <c r="AD23" s="142">
        <f>P132</f>
        <v>12332</v>
      </c>
      <c r="AE23" s="142">
        <f>Q132</f>
        <v>2028</v>
      </c>
      <c r="AF23" s="143">
        <f>S132*100</f>
        <v>16.4450210833604</v>
      </c>
    </row>
    <row r="24" spans="2:32">
      <c r="B24" s="140" t="s">
        <v>31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f>O134</f>
        <v>37</v>
      </c>
      <c r="J24" s="140">
        <f>R134</f>
        <v>37</v>
      </c>
      <c r="K24" s="141">
        <f>E134*100</f>
        <v>100</v>
      </c>
      <c r="L24" s="140">
        <f>P134</f>
        <v>37</v>
      </c>
      <c r="M24" s="140">
        <f>Q134</f>
        <v>37</v>
      </c>
      <c r="N24" s="141">
        <f>S134*100</f>
        <v>100</v>
      </c>
      <c r="O24" s="140">
        <f>O135</f>
        <v>1626</v>
      </c>
      <c r="P24" s="140">
        <f>R135</f>
        <v>1616</v>
      </c>
      <c r="Q24" s="141">
        <f>E135*100</f>
        <v>99.3849938499385</v>
      </c>
      <c r="R24" s="140">
        <f>P135</f>
        <v>1618</v>
      </c>
      <c r="S24" s="140">
        <f>Q135</f>
        <v>1583</v>
      </c>
      <c r="T24" s="141">
        <f>S135*100</f>
        <v>97.8368355995056</v>
      </c>
      <c r="U24" s="140">
        <f>O136</f>
        <v>5341</v>
      </c>
      <c r="V24" s="140">
        <f>R136</f>
        <v>5341</v>
      </c>
      <c r="W24" s="141">
        <f>E136*100</f>
        <v>100</v>
      </c>
      <c r="X24" s="140">
        <f>P136</f>
        <v>5227</v>
      </c>
      <c r="Y24" s="140">
        <f>Q136</f>
        <v>1880</v>
      </c>
      <c r="Z24" s="141">
        <f>S136*100</f>
        <v>35.9670939353358</v>
      </c>
      <c r="AA24" s="140">
        <f>O137</f>
        <v>16018</v>
      </c>
      <c r="AB24" s="140">
        <f>R137</f>
        <v>16018</v>
      </c>
      <c r="AC24" s="141">
        <f>E137*100</f>
        <v>100</v>
      </c>
      <c r="AD24" s="140">
        <f>P137</f>
        <v>15255</v>
      </c>
      <c r="AE24" s="140">
        <f>Q137</f>
        <v>419</v>
      </c>
      <c r="AF24" s="141">
        <f>S137*100</f>
        <v>2.74664044575549</v>
      </c>
    </row>
    <row r="25" spans="2:32">
      <c r="B25" s="142" t="s">
        <v>32</v>
      </c>
      <c r="C25" s="142">
        <v>0</v>
      </c>
      <c r="D25" s="142">
        <v>0</v>
      </c>
      <c r="E25" s="142">
        <v>0</v>
      </c>
      <c r="F25" s="142">
        <v>0</v>
      </c>
      <c r="G25" s="142">
        <v>0</v>
      </c>
      <c r="H25" s="142">
        <v>0</v>
      </c>
      <c r="I25" s="142">
        <f>O139</f>
        <v>70</v>
      </c>
      <c r="J25" s="142">
        <f>R139</f>
        <v>70</v>
      </c>
      <c r="K25" s="143">
        <f>E139*100</f>
        <v>100</v>
      </c>
      <c r="L25" s="142">
        <f>P139</f>
        <v>70</v>
      </c>
      <c r="M25" s="142">
        <f>Q139</f>
        <v>70</v>
      </c>
      <c r="N25" s="143">
        <f>S139*100</f>
        <v>100</v>
      </c>
      <c r="O25" s="142">
        <f>O140</f>
        <v>1403</v>
      </c>
      <c r="P25" s="142">
        <f>R140</f>
        <v>1382</v>
      </c>
      <c r="Q25" s="143">
        <f>E140*100</f>
        <v>98.5032074126871</v>
      </c>
      <c r="R25" s="142">
        <f>P140</f>
        <v>1384</v>
      </c>
      <c r="S25" s="142">
        <f>Q140</f>
        <v>1157</v>
      </c>
      <c r="T25" s="143">
        <f>S140*100</f>
        <v>83.5982658959538</v>
      </c>
      <c r="U25" s="142">
        <f>O141</f>
        <v>6420</v>
      </c>
      <c r="V25" s="142">
        <f>R141</f>
        <v>6420</v>
      </c>
      <c r="W25" s="143">
        <f>E141*100</f>
        <v>100</v>
      </c>
      <c r="X25" s="142">
        <f>P141</f>
        <v>6277</v>
      </c>
      <c r="Y25" s="142">
        <f>Q141</f>
        <v>2803</v>
      </c>
      <c r="Z25" s="143">
        <f>S141*100</f>
        <v>44.6550900111518</v>
      </c>
      <c r="AA25" s="142">
        <f>O142</f>
        <v>10002</v>
      </c>
      <c r="AB25" s="142">
        <f>R142</f>
        <v>10002</v>
      </c>
      <c r="AC25" s="143">
        <f>E142*100</f>
        <v>100</v>
      </c>
      <c r="AD25" s="142">
        <f>P142</f>
        <v>9460</v>
      </c>
      <c r="AE25" s="142">
        <f>Q142</f>
        <v>1067</v>
      </c>
      <c r="AF25" s="143">
        <f>S142*100</f>
        <v>11.2790697674419</v>
      </c>
    </row>
    <row r="26" spans="2:32">
      <c r="B26" s="140" t="s">
        <v>33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f>O144</f>
        <v>33</v>
      </c>
      <c r="J26" s="140">
        <f>R144</f>
        <v>33</v>
      </c>
      <c r="K26" s="141">
        <f>E144*100</f>
        <v>100</v>
      </c>
      <c r="L26" s="140">
        <f>P144</f>
        <v>33</v>
      </c>
      <c r="M26" s="140">
        <f>Q144</f>
        <v>33</v>
      </c>
      <c r="N26" s="141">
        <f>S144*100</f>
        <v>100</v>
      </c>
      <c r="O26" s="140">
        <f>O145</f>
        <v>1070</v>
      </c>
      <c r="P26" s="140">
        <f>R145</f>
        <v>1057</v>
      </c>
      <c r="Q26" s="141">
        <f>E145*100</f>
        <v>98.785046728972</v>
      </c>
      <c r="R26" s="140">
        <f>P145</f>
        <v>1062</v>
      </c>
      <c r="S26" s="140">
        <f>Q145</f>
        <v>1054</v>
      </c>
      <c r="T26" s="141">
        <f>S145*100</f>
        <v>99.2467043314501</v>
      </c>
      <c r="U26" s="140">
        <f>O146</f>
        <v>4351</v>
      </c>
      <c r="V26" s="140">
        <f>R146</f>
        <v>4351</v>
      </c>
      <c r="W26" s="141">
        <f>E146*100</f>
        <v>100</v>
      </c>
      <c r="X26" s="140">
        <f>P146</f>
        <v>4340</v>
      </c>
      <c r="Y26" s="140">
        <f>Q146</f>
        <v>4324</v>
      </c>
      <c r="Z26" s="141">
        <f>S146*100</f>
        <v>99.63133640553</v>
      </c>
      <c r="AA26" s="140">
        <f>O147</f>
        <v>9417</v>
      </c>
      <c r="AB26" s="140">
        <f>R147</f>
        <v>9417</v>
      </c>
      <c r="AC26" s="141">
        <f>E147*100</f>
        <v>100</v>
      </c>
      <c r="AD26" s="140">
        <f>P147</f>
        <v>9284</v>
      </c>
      <c r="AE26" s="140">
        <f>Q147</f>
        <v>9038</v>
      </c>
      <c r="AF26" s="141">
        <f>S147*100</f>
        <v>97.3502800517019</v>
      </c>
    </row>
    <row r="27" customFormat="1" spans="2:32">
      <c r="B27" s="142" t="s">
        <v>34</v>
      </c>
      <c r="C27" s="142">
        <f>O148</f>
        <v>1</v>
      </c>
      <c r="D27" s="142">
        <f>R148</f>
        <v>1</v>
      </c>
      <c r="E27" s="142">
        <f>E148*100</f>
        <v>100</v>
      </c>
      <c r="F27" s="142">
        <f>P148</f>
        <v>1</v>
      </c>
      <c r="G27" s="142">
        <f>Q148</f>
        <v>1</v>
      </c>
      <c r="H27" s="142">
        <f>S148*100</f>
        <v>100</v>
      </c>
      <c r="I27" s="142">
        <f>O149</f>
        <v>468</v>
      </c>
      <c r="J27" s="142">
        <f>R149</f>
        <v>468</v>
      </c>
      <c r="K27" s="143">
        <f>E149*100</f>
        <v>100</v>
      </c>
      <c r="L27" s="142">
        <f>P149</f>
        <v>468</v>
      </c>
      <c r="M27" s="142">
        <f>Q149</f>
        <v>464</v>
      </c>
      <c r="N27" s="143">
        <f>S149*100</f>
        <v>99.1452991452991</v>
      </c>
      <c r="O27" s="142">
        <f>O150</f>
        <v>558</v>
      </c>
      <c r="P27" s="142">
        <f>R150</f>
        <v>558</v>
      </c>
      <c r="Q27" s="143">
        <f>E150*100</f>
        <v>100</v>
      </c>
      <c r="R27" s="142">
        <f>P150</f>
        <v>557</v>
      </c>
      <c r="S27" s="142">
        <f>Q150</f>
        <v>557</v>
      </c>
      <c r="T27" s="143">
        <f>S150*100</f>
        <v>100</v>
      </c>
      <c r="U27" s="142">
        <f>O151</f>
        <v>58</v>
      </c>
      <c r="V27" s="142">
        <f>R151</f>
        <v>58</v>
      </c>
      <c r="W27" s="143">
        <f>E151*100</f>
        <v>100</v>
      </c>
      <c r="X27" s="142">
        <f>P151</f>
        <v>57</v>
      </c>
      <c r="Y27" s="142">
        <f>Q151</f>
        <v>48</v>
      </c>
      <c r="Z27" s="143">
        <f>S151*100</f>
        <v>84.2105263157895</v>
      </c>
      <c r="AA27" s="142">
        <f>O152</f>
        <v>41</v>
      </c>
      <c r="AB27" s="142">
        <f>R152</f>
        <v>41</v>
      </c>
      <c r="AC27" s="143">
        <f>E152*100</f>
        <v>100</v>
      </c>
      <c r="AD27" s="142">
        <f>P152</f>
        <v>41</v>
      </c>
      <c r="AE27" s="142">
        <f>Q152</f>
        <v>35</v>
      </c>
      <c r="AF27" s="143">
        <f>S152*100</f>
        <v>85.3658536585366</v>
      </c>
    </row>
    <row r="31" spans="2:32">
      <c r="B31" t="s">
        <v>35</v>
      </c>
      <c r="C31" s="144" t="s">
        <v>36</v>
      </c>
      <c r="D31" s="144"/>
      <c r="E31" s="144"/>
      <c r="F31" s="145" t="s">
        <v>37</v>
      </c>
      <c r="G31" s="146"/>
      <c r="H31" s="147"/>
      <c r="I31" s="145" t="s">
        <v>38</v>
      </c>
      <c r="J31" s="146"/>
      <c r="K31" s="147"/>
      <c r="L31" s="148" t="s">
        <v>39</v>
      </c>
      <c r="M31" s="149"/>
      <c r="N31" s="149"/>
      <c r="O31" s="145" t="s">
        <v>40</v>
      </c>
      <c r="P31" s="146"/>
      <c r="Q31" s="146"/>
      <c r="R31" s="146"/>
      <c r="S31" s="147"/>
      <c r="T31" s="145"/>
      <c r="U31" s="147"/>
      <c r="V31" s="150"/>
    </row>
    <row r="32" spans="2:32">
      <c r="B32" s="151"/>
      <c r="C32" s="151"/>
      <c r="E32" s="151"/>
      <c r="F32" s="151" t="s">
        <v>6</v>
      </c>
      <c r="G32" s="151" t="s">
        <v>41</v>
      </c>
      <c r="H32" s="151" t="s">
        <v>42</v>
      </c>
      <c r="I32" s="151" t="s">
        <v>6</v>
      </c>
      <c r="J32" s="151" t="s">
        <v>41</v>
      </c>
      <c r="K32" s="151" t="s">
        <v>42</v>
      </c>
      <c r="L32" s="151" t="s">
        <v>6</v>
      </c>
      <c r="M32" s="151" t="s">
        <v>41</v>
      </c>
      <c r="N32" s="151" t="s">
        <v>42</v>
      </c>
      <c r="O32" s="151" t="s">
        <v>6</v>
      </c>
      <c r="P32" s="151" t="s">
        <v>41</v>
      </c>
      <c r="Q32" s="151" t="s">
        <v>43</v>
      </c>
      <c r="R32" s="151" t="s">
        <v>44</v>
      </c>
      <c r="S32" s="151" t="s">
        <v>45</v>
      </c>
      <c r="T32" s="151"/>
      <c r="U32" s="151"/>
    </row>
    <row r="33" spans="2:21">
      <c r="B33" s="152" t="s">
        <v>46</v>
      </c>
      <c r="C33" s="151" t="s">
        <v>1</v>
      </c>
      <c r="D33">
        <v>1</v>
      </c>
      <c r="E33" s="153">
        <v>1</v>
      </c>
      <c r="F33">
        <v>6</v>
      </c>
      <c r="G33">
        <v>6</v>
      </c>
      <c r="H33">
        <v>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153">
        <v>6</v>
      </c>
      <c r="P33">
        <v>6</v>
      </c>
      <c r="Q33">
        <v>6</v>
      </c>
      <c r="R33">
        <v>6</v>
      </c>
      <c r="S33">
        <v>1</v>
      </c>
      <c r="T33">
        <v>0</v>
      </c>
      <c r="U33">
        <v>0</v>
      </c>
    </row>
    <row r="34" spans="2:21">
      <c r="B34" s="152"/>
      <c r="C34" s="151" t="s">
        <v>2</v>
      </c>
      <c r="D34">
        <v>0.973500361358709</v>
      </c>
      <c r="E34" s="153">
        <v>0.981257413997628</v>
      </c>
      <c r="F34">
        <v>8272</v>
      </c>
      <c r="G34">
        <v>8267</v>
      </c>
      <c r="H34">
        <v>8226</v>
      </c>
      <c r="I34">
        <v>70</v>
      </c>
      <c r="J34">
        <v>67</v>
      </c>
      <c r="K34">
        <v>43</v>
      </c>
      <c r="L34">
        <v>88</v>
      </c>
      <c r="M34">
        <v>87</v>
      </c>
      <c r="N34">
        <v>55</v>
      </c>
      <c r="O34" s="153">
        <v>8430</v>
      </c>
      <c r="P34">
        <v>8421</v>
      </c>
      <c r="Q34">
        <v>8324</v>
      </c>
      <c r="R34">
        <v>8272</v>
      </c>
      <c r="S34">
        <v>0.988481178007363</v>
      </c>
      <c r="T34">
        <v>158</v>
      </c>
      <c r="U34">
        <v>121</v>
      </c>
    </row>
    <row r="35" spans="2:21">
      <c r="B35" s="152"/>
      <c r="C35" s="151" t="s">
        <v>3</v>
      </c>
      <c r="D35">
        <v>0.943369790250737</v>
      </c>
      <c r="E35" s="153">
        <v>0.944454865670397</v>
      </c>
      <c r="F35">
        <v>54690</v>
      </c>
      <c r="G35">
        <v>54639</v>
      </c>
      <c r="H35">
        <v>54052</v>
      </c>
      <c r="I35">
        <v>35938</v>
      </c>
      <c r="J35">
        <v>35682</v>
      </c>
      <c r="K35">
        <v>26650</v>
      </c>
      <c r="L35">
        <v>5330</v>
      </c>
      <c r="M35">
        <v>5196</v>
      </c>
      <c r="N35">
        <v>1443</v>
      </c>
      <c r="O35" s="153">
        <v>95958</v>
      </c>
      <c r="P35">
        <v>95517</v>
      </c>
      <c r="Q35">
        <v>82145</v>
      </c>
      <c r="R35">
        <v>90628</v>
      </c>
      <c r="S35">
        <v>0.860003978349404</v>
      </c>
      <c r="T35">
        <v>5330</v>
      </c>
      <c r="U35">
        <v>5867</v>
      </c>
    </row>
    <row r="36" spans="2:21">
      <c r="B36" s="152"/>
      <c r="C36" s="151" t="s">
        <v>4</v>
      </c>
      <c r="D36">
        <v>1</v>
      </c>
      <c r="E36" s="153">
        <v>1</v>
      </c>
      <c r="F36">
        <v>68619</v>
      </c>
      <c r="G36">
        <v>68359</v>
      </c>
      <c r="H36">
        <v>63457</v>
      </c>
      <c r="I36">
        <v>93996</v>
      </c>
      <c r="J36">
        <v>92780</v>
      </c>
      <c r="K36">
        <v>33095</v>
      </c>
      <c r="L36">
        <v>114746</v>
      </c>
      <c r="M36">
        <v>111689</v>
      </c>
      <c r="N36">
        <v>18964</v>
      </c>
      <c r="O36" s="153">
        <v>277361</v>
      </c>
      <c r="P36">
        <v>272828</v>
      </c>
      <c r="Q36">
        <v>115516</v>
      </c>
      <c r="R36">
        <v>277361</v>
      </c>
      <c r="S36">
        <v>0.423402290087528</v>
      </c>
      <c r="T36">
        <v>0</v>
      </c>
      <c r="U36">
        <v>66371</v>
      </c>
    </row>
    <row r="37" spans="2:21">
      <c r="B37" s="152"/>
      <c r="C37" s="151" t="s">
        <v>5</v>
      </c>
      <c r="D37">
        <v>1</v>
      </c>
      <c r="E37" s="153">
        <v>1</v>
      </c>
      <c r="F37">
        <v>33866</v>
      </c>
      <c r="G37">
        <v>33511</v>
      </c>
      <c r="H37">
        <v>25070</v>
      </c>
      <c r="I37">
        <v>202715</v>
      </c>
      <c r="J37">
        <v>199490</v>
      </c>
      <c r="K37">
        <v>58744</v>
      </c>
      <c r="L37">
        <v>324748</v>
      </c>
      <c r="M37">
        <v>314706</v>
      </c>
      <c r="N37">
        <v>37919</v>
      </c>
      <c r="O37" s="153">
        <v>561329</v>
      </c>
      <c r="P37">
        <v>547707</v>
      </c>
      <c r="Q37">
        <v>121733</v>
      </c>
      <c r="R37">
        <v>561329</v>
      </c>
      <c r="S37">
        <v>0.222259346694492</v>
      </c>
      <c r="T37">
        <v>0</v>
      </c>
      <c r="U37">
        <v>239309</v>
      </c>
    </row>
    <row r="38" spans="2:21">
      <c r="B38" s="152" t="s">
        <v>47</v>
      </c>
      <c r="C38" s="151" t="s">
        <v>1</v>
      </c>
      <c r="D38">
        <v>1</v>
      </c>
      <c r="E38" s="153">
        <v>1</v>
      </c>
      <c r="F38">
        <v>6</v>
      </c>
      <c r="G38">
        <v>6</v>
      </c>
      <c r="H38">
        <v>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153">
        <v>6</v>
      </c>
      <c r="P38">
        <v>6</v>
      </c>
      <c r="Q38">
        <v>6</v>
      </c>
      <c r="R38">
        <v>6</v>
      </c>
      <c r="S38">
        <v>1</v>
      </c>
      <c r="T38">
        <v>0</v>
      </c>
      <c r="U38">
        <v>0</v>
      </c>
    </row>
    <row r="39" spans="2:21">
      <c r="B39" s="152"/>
      <c r="C39" s="151" t="s">
        <v>2</v>
      </c>
      <c r="D39">
        <v>0.976038531005418</v>
      </c>
      <c r="E39" s="153">
        <v>0.982608695652174</v>
      </c>
      <c r="F39">
        <v>8249</v>
      </c>
      <c r="G39">
        <v>8227</v>
      </c>
      <c r="H39">
        <v>8173</v>
      </c>
      <c r="I39">
        <v>66</v>
      </c>
      <c r="J39">
        <v>63</v>
      </c>
      <c r="K39">
        <v>42</v>
      </c>
      <c r="L39">
        <v>80</v>
      </c>
      <c r="M39">
        <v>79</v>
      </c>
      <c r="N39">
        <v>53</v>
      </c>
      <c r="O39" s="153">
        <v>8395</v>
      </c>
      <c r="P39">
        <v>8369</v>
      </c>
      <c r="Q39">
        <v>8268</v>
      </c>
      <c r="R39">
        <v>8249</v>
      </c>
      <c r="S39">
        <v>0.987931652527184</v>
      </c>
      <c r="T39">
        <v>146</v>
      </c>
      <c r="U39">
        <v>108</v>
      </c>
    </row>
    <row r="40" spans="2:21">
      <c r="B40" s="152"/>
      <c r="C40" s="151" t="s">
        <v>3</v>
      </c>
      <c r="D40">
        <v>0.942575741761631</v>
      </c>
      <c r="E40" s="153">
        <v>0.944039550425848</v>
      </c>
      <c r="F40">
        <v>58332</v>
      </c>
      <c r="G40">
        <v>58280</v>
      </c>
      <c r="H40">
        <v>57595</v>
      </c>
      <c r="I40">
        <v>41537</v>
      </c>
      <c r="J40">
        <v>41175</v>
      </c>
      <c r="K40">
        <v>30619</v>
      </c>
      <c r="L40">
        <v>5920</v>
      </c>
      <c r="M40">
        <v>5774</v>
      </c>
      <c r="N40">
        <v>1595</v>
      </c>
      <c r="O40" s="153">
        <v>105789</v>
      </c>
      <c r="P40">
        <v>105229</v>
      </c>
      <c r="Q40">
        <v>89809</v>
      </c>
      <c r="R40">
        <v>99869</v>
      </c>
      <c r="S40">
        <v>0.853462448564559</v>
      </c>
      <c r="T40">
        <v>5920</v>
      </c>
      <c r="U40">
        <v>9799</v>
      </c>
    </row>
    <row r="41" spans="2:21">
      <c r="B41" s="152"/>
      <c r="C41" s="151" t="s">
        <v>4</v>
      </c>
      <c r="D41">
        <v>1</v>
      </c>
      <c r="E41" s="153">
        <v>1</v>
      </c>
      <c r="F41">
        <v>73376</v>
      </c>
      <c r="G41">
        <v>73107</v>
      </c>
      <c r="H41">
        <v>67727</v>
      </c>
      <c r="I41">
        <v>98702</v>
      </c>
      <c r="J41">
        <v>97434</v>
      </c>
      <c r="K41">
        <v>34733</v>
      </c>
      <c r="L41">
        <v>118722</v>
      </c>
      <c r="M41">
        <v>115620</v>
      </c>
      <c r="N41">
        <v>19542</v>
      </c>
      <c r="O41" s="153">
        <v>290800</v>
      </c>
      <c r="P41">
        <v>286161</v>
      </c>
      <c r="Q41">
        <v>122002</v>
      </c>
      <c r="R41">
        <v>290800</v>
      </c>
      <c r="S41">
        <v>0.426340416758398</v>
      </c>
      <c r="T41">
        <v>0</v>
      </c>
      <c r="U41">
        <v>78464</v>
      </c>
    </row>
    <row r="42" spans="2:21">
      <c r="B42" s="152"/>
      <c r="C42" s="151" t="s">
        <v>5</v>
      </c>
      <c r="D42">
        <v>1</v>
      </c>
      <c r="E42" s="153">
        <v>1</v>
      </c>
      <c r="F42">
        <v>46298</v>
      </c>
      <c r="G42">
        <v>45778</v>
      </c>
      <c r="H42">
        <v>32199</v>
      </c>
      <c r="I42">
        <v>266493</v>
      </c>
      <c r="J42">
        <v>261495</v>
      </c>
      <c r="K42">
        <v>70210</v>
      </c>
      <c r="L42">
        <v>404582</v>
      </c>
      <c r="M42">
        <v>391345</v>
      </c>
      <c r="N42">
        <v>44298</v>
      </c>
      <c r="O42" s="153">
        <v>717373</v>
      </c>
      <c r="P42">
        <v>698618</v>
      </c>
      <c r="Q42">
        <v>146707</v>
      </c>
      <c r="R42">
        <v>717373</v>
      </c>
      <c r="S42">
        <v>0.209996020715183</v>
      </c>
      <c r="T42">
        <v>0</v>
      </c>
      <c r="U42">
        <v>550760</v>
      </c>
    </row>
    <row r="43" spans="2:21">
      <c r="B43" s="152" t="s">
        <v>13</v>
      </c>
      <c r="C43" s="151" t="s">
        <v>1</v>
      </c>
      <c r="D43">
        <v>1</v>
      </c>
      <c r="E43" s="153">
        <v>1</v>
      </c>
      <c r="F43">
        <v>4</v>
      </c>
      <c r="G43">
        <v>4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153">
        <v>4</v>
      </c>
      <c r="P43">
        <v>4</v>
      </c>
      <c r="Q43">
        <v>4</v>
      </c>
      <c r="R43">
        <v>4</v>
      </c>
      <c r="S43">
        <v>1</v>
      </c>
      <c r="T43">
        <v>0</v>
      </c>
      <c r="U43">
        <v>0</v>
      </c>
    </row>
    <row r="44" spans="2:21">
      <c r="B44" s="152"/>
      <c r="C44" s="151" t="s">
        <v>2</v>
      </c>
      <c r="D44">
        <v>0.970536031238907</v>
      </c>
      <c r="E44" s="153">
        <v>0.992033252511257</v>
      </c>
      <c r="F44">
        <v>2864</v>
      </c>
      <c r="G44">
        <v>2864</v>
      </c>
      <c r="H44">
        <v>2861</v>
      </c>
      <c r="I44">
        <v>11</v>
      </c>
      <c r="J44">
        <v>9</v>
      </c>
      <c r="K44">
        <v>1</v>
      </c>
      <c r="L44">
        <v>12</v>
      </c>
      <c r="M44">
        <v>12</v>
      </c>
      <c r="N44">
        <v>7</v>
      </c>
      <c r="O44" s="153">
        <v>2887</v>
      </c>
      <c r="P44">
        <v>2885</v>
      </c>
      <c r="Q44">
        <v>2869</v>
      </c>
      <c r="R44">
        <v>2864</v>
      </c>
      <c r="S44">
        <v>0.994454072790295</v>
      </c>
      <c r="T44">
        <v>23</v>
      </c>
      <c r="U44">
        <v>6</v>
      </c>
    </row>
    <row r="45" spans="2:21">
      <c r="B45" s="152"/>
      <c r="C45" s="151" t="s">
        <v>3</v>
      </c>
      <c r="D45">
        <v>0.880953958264326</v>
      </c>
      <c r="E45" s="153">
        <v>0.885922488726227</v>
      </c>
      <c r="F45">
        <v>18088</v>
      </c>
      <c r="G45">
        <v>18075</v>
      </c>
      <c r="H45">
        <v>17896</v>
      </c>
      <c r="I45">
        <v>9023</v>
      </c>
      <c r="J45">
        <v>8914</v>
      </c>
      <c r="K45">
        <v>375</v>
      </c>
      <c r="L45">
        <v>3491</v>
      </c>
      <c r="M45">
        <v>3457</v>
      </c>
      <c r="N45">
        <v>232</v>
      </c>
      <c r="O45" s="153">
        <v>30602</v>
      </c>
      <c r="P45">
        <v>30446</v>
      </c>
      <c r="Q45">
        <v>18503</v>
      </c>
      <c r="R45">
        <v>27111</v>
      </c>
      <c r="S45">
        <v>0.607731721736846</v>
      </c>
      <c r="T45">
        <v>3491</v>
      </c>
      <c r="U45">
        <v>4779</v>
      </c>
    </row>
    <row r="46" spans="2:21">
      <c r="B46" s="152"/>
      <c r="C46" s="151" t="s">
        <v>4</v>
      </c>
      <c r="D46">
        <v>1</v>
      </c>
      <c r="E46" s="153">
        <v>1</v>
      </c>
      <c r="F46">
        <v>17906</v>
      </c>
      <c r="G46">
        <v>17864</v>
      </c>
      <c r="H46">
        <v>17148</v>
      </c>
      <c r="I46">
        <v>30674</v>
      </c>
      <c r="J46">
        <v>30241</v>
      </c>
      <c r="K46">
        <v>588</v>
      </c>
      <c r="L46">
        <v>25388</v>
      </c>
      <c r="M46">
        <v>25119</v>
      </c>
      <c r="N46">
        <v>3305</v>
      </c>
      <c r="O46" s="153">
        <v>73968</v>
      </c>
      <c r="P46">
        <v>73224</v>
      </c>
      <c r="Q46">
        <v>21041</v>
      </c>
      <c r="R46">
        <v>73968</v>
      </c>
      <c r="S46">
        <v>0.287351141702174</v>
      </c>
      <c r="T46">
        <v>0</v>
      </c>
      <c r="U46">
        <v>32320</v>
      </c>
    </row>
    <row r="47" spans="2:21">
      <c r="B47" s="152"/>
      <c r="C47" s="151" t="s">
        <v>5</v>
      </c>
      <c r="D47">
        <v>1</v>
      </c>
      <c r="E47" s="153">
        <v>1</v>
      </c>
      <c r="F47">
        <v>1998</v>
      </c>
      <c r="G47">
        <v>1894</v>
      </c>
      <c r="H47">
        <v>98</v>
      </c>
      <c r="I47">
        <v>72132</v>
      </c>
      <c r="J47">
        <v>70731</v>
      </c>
      <c r="K47">
        <v>264</v>
      </c>
      <c r="L47">
        <v>67299</v>
      </c>
      <c r="M47">
        <v>66286</v>
      </c>
      <c r="N47">
        <v>652</v>
      </c>
      <c r="O47" s="153">
        <v>141429</v>
      </c>
      <c r="P47">
        <v>138911</v>
      </c>
      <c r="Q47">
        <v>1014</v>
      </c>
      <c r="R47">
        <v>141429</v>
      </c>
      <c r="S47">
        <v>0.00729963789764669</v>
      </c>
      <c r="T47">
        <v>0</v>
      </c>
      <c r="U47">
        <v>165089</v>
      </c>
    </row>
    <row r="48" spans="2:21">
      <c r="B48" s="152" t="s">
        <v>14</v>
      </c>
      <c r="C48" s="151" t="s">
        <v>1</v>
      </c>
      <c r="D48">
        <v>1</v>
      </c>
      <c r="E48" s="153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153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</row>
    <row r="49" spans="2:21">
      <c r="B49" s="152"/>
      <c r="C49" s="151" t="s">
        <v>2</v>
      </c>
      <c r="D49">
        <v>0.995746691871456</v>
      </c>
      <c r="E49" s="153">
        <v>0.995750708215297</v>
      </c>
      <c r="F49">
        <v>2109</v>
      </c>
      <c r="G49">
        <v>2108</v>
      </c>
      <c r="H49">
        <v>2101</v>
      </c>
      <c r="I49">
        <v>2</v>
      </c>
      <c r="J49">
        <v>2</v>
      </c>
      <c r="K49">
        <v>1</v>
      </c>
      <c r="L49">
        <v>7</v>
      </c>
      <c r="M49">
        <v>6</v>
      </c>
      <c r="N49">
        <v>1</v>
      </c>
      <c r="O49" s="153">
        <v>2118</v>
      </c>
      <c r="P49">
        <v>2116</v>
      </c>
      <c r="Q49">
        <v>2103</v>
      </c>
      <c r="R49">
        <v>2109</v>
      </c>
      <c r="S49">
        <v>0.993856332703214</v>
      </c>
      <c r="T49">
        <v>9</v>
      </c>
      <c r="U49">
        <v>45</v>
      </c>
    </row>
    <row r="50" spans="2:21">
      <c r="B50" s="152"/>
      <c r="C50" s="151" t="s">
        <v>3</v>
      </c>
      <c r="D50">
        <v>0.986154635063529</v>
      </c>
      <c r="E50" s="153">
        <v>0.986213968326307</v>
      </c>
      <c r="F50">
        <v>7530</v>
      </c>
      <c r="G50">
        <v>7523</v>
      </c>
      <c r="H50">
        <v>7516</v>
      </c>
      <c r="I50">
        <v>9782</v>
      </c>
      <c r="J50">
        <v>9695</v>
      </c>
      <c r="K50">
        <v>9584</v>
      </c>
      <c r="L50">
        <v>242</v>
      </c>
      <c r="M50">
        <v>234</v>
      </c>
      <c r="N50">
        <v>71</v>
      </c>
      <c r="O50" s="153">
        <v>17554</v>
      </c>
      <c r="P50">
        <v>17452</v>
      </c>
      <c r="Q50">
        <v>17171</v>
      </c>
      <c r="R50">
        <v>17312</v>
      </c>
      <c r="S50">
        <v>0.983898693559477</v>
      </c>
      <c r="T50">
        <v>242</v>
      </c>
      <c r="U50">
        <v>4425</v>
      </c>
    </row>
    <row r="51" spans="2:21">
      <c r="B51" s="152"/>
      <c r="C51" s="151" t="s">
        <v>4</v>
      </c>
      <c r="D51">
        <v>1</v>
      </c>
      <c r="E51" s="153">
        <v>1</v>
      </c>
      <c r="F51">
        <v>7589</v>
      </c>
      <c r="G51">
        <v>7552</v>
      </c>
      <c r="H51">
        <v>6715</v>
      </c>
      <c r="I51">
        <v>27978</v>
      </c>
      <c r="J51">
        <v>27620</v>
      </c>
      <c r="K51">
        <v>9630</v>
      </c>
      <c r="L51">
        <v>20506</v>
      </c>
      <c r="M51">
        <v>19351</v>
      </c>
      <c r="N51">
        <v>1560</v>
      </c>
      <c r="O51" s="153">
        <v>56073</v>
      </c>
      <c r="P51">
        <v>54523</v>
      </c>
      <c r="Q51">
        <v>17905</v>
      </c>
      <c r="R51">
        <v>56073</v>
      </c>
      <c r="S51">
        <v>0.32839352199989</v>
      </c>
      <c r="T51">
        <v>0</v>
      </c>
      <c r="U51">
        <v>20297</v>
      </c>
    </row>
    <row r="52" spans="2:21">
      <c r="B52" s="152"/>
      <c r="C52" s="151" t="s">
        <v>5</v>
      </c>
      <c r="D52">
        <v>1</v>
      </c>
      <c r="E52" s="153">
        <v>1</v>
      </c>
      <c r="F52">
        <v>5667</v>
      </c>
      <c r="G52">
        <v>5619</v>
      </c>
      <c r="H52">
        <v>3054</v>
      </c>
      <c r="I52">
        <v>69142</v>
      </c>
      <c r="J52">
        <v>67931</v>
      </c>
      <c r="K52">
        <v>8101</v>
      </c>
      <c r="L52">
        <v>68874</v>
      </c>
      <c r="M52">
        <v>64302</v>
      </c>
      <c r="N52">
        <v>1550</v>
      </c>
      <c r="O52" s="153">
        <v>143683</v>
      </c>
      <c r="P52">
        <v>137852</v>
      </c>
      <c r="Q52">
        <v>12705</v>
      </c>
      <c r="R52">
        <v>143683</v>
      </c>
      <c r="S52">
        <v>0.0921640600063837</v>
      </c>
      <c r="T52">
        <v>0</v>
      </c>
      <c r="U52">
        <v>114224</v>
      </c>
    </row>
    <row r="53" spans="2:21">
      <c r="B53" s="152" t="s">
        <v>15</v>
      </c>
      <c r="C53" s="151" t="s">
        <v>1</v>
      </c>
      <c r="D53" t="s">
        <v>48</v>
      </c>
      <c r="E53" s="153" t="s">
        <v>48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153">
        <v>0</v>
      </c>
      <c r="P53">
        <v>0</v>
      </c>
      <c r="Q53">
        <v>0</v>
      </c>
      <c r="R53">
        <v>0</v>
      </c>
      <c r="S53" t="s">
        <v>48</v>
      </c>
      <c r="T53">
        <v>0</v>
      </c>
      <c r="U53">
        <v>0</v>
      </c>
    </row>
    <row r="54" spans="2:21">
      <c r="B54" s="152"/>
      <c r="C54" s="151" t="s">
        <v>2</v>
      </c>
      <c r="D54">
        <v>0.981788079470199</v>
      </c>
      <c r="E54" s="153">
        <v>0.983471074380165</v>
      </c>
      <c r="F54">
        <v>595</v>
      </c>
      <c r="G54">
        <v>595</v>
      </c>
      <c r="H54">
        <v>595</v>
      </c>
      <c r="I54">
        <v>1</v>
      </c>
      <c r="J54">
        <v>1</v>
      </c>
      <c r="K54">
        <v>1</v>
      </c>
      <c r="L54">
        <v>9</v>
      </c>
      <c r="M54">
        <v>9</v>
      </c>
      <c r="N54">
        <v>6</v>
      </c>
      <c r="O54" s="153">
        <v>605</v>
      </c>
      <c r="P54">
        <v>605</v>
      </c>
      <c r="Q54">
        <v>602</v>
      </c>
      <c r="R54">
        <v>595</v>
      </c>
      <c r="S54">
        <v>0.99504132231405</v>
      </c>
      <c r="T54">
        <v>10</v>
      </c>
      <c r="U54">
        <v>8</v>
      </c>
    </row>
    <row r="55" spans="2:21">
      <c r="B55" s="152"/>
      <c r="C55" s="151" t="s">
        <v>3</v>
      </c>
      <c r="D55">
        <v>0.979062559301664</v>
      </c>
      <c r="E55" s="153">
        <v>0.979253636938646</v>
      </c>
      <c r="F55">
        <v>11119</v>
      </c>
      <c r="G55">
        <v>11116</v>
      </c>
      <c r="H55">
        <v>11087</v>
      </c>
      <c r="I55">
        <v>4363</v>
      </c>
      <c r="J55">
        <v>4357</v>
      </c>
      <c r="K55">
        <v>4178</v>
      </c>
      <c r="L55">
        <v>328</v>
      </c>
      <c r="M55">
        <v>261</v>
      </c>
      <c r="N55">
        <v>28</v>
      </c>
      <c r="O55" s="153">
        <v>15810</v>
      </c>
      <c r="P55">
        <v>15734</v>
      </c>
      <c r="Q55">
        <v>15293</v>
      </c>
      <c r="R55">
        <v>15482</v>
      </c>
      <c r="S55">
        <v>0.971971526630228</v>
      </c>
      <c r="T55">
        <v>328</v>
      </c>
      <c r="U55">
        <v>2277</v>
      </c>
    </row>
    <row r="56" spans="2:21">
      <c r="B56" s="152"/>
      <c r="C56" s="151" t="s">
        <v>4</v>
      </c>
      <c r="D56">
        <v>1</v>
      </c>
      <c r="E56" s="153">
        <v>1</v>
      </c>
      <c r="F56">
        <v>5349</v>
      </c>
      <c r="G56">
        <v>5344</v>
      </c>
      <c r="H56">
        <v>5140</v>
      </c>
      <c r="I56">
        <v>2959</v>
      </c>
      <c r="J56">
        <v>2932</v>
      </c>
      <c r="K56">
        <v>7</v>
      </c>
      <c r="L56">
        <v>17915</v>
      </c>
      <c r="M56">
        <v>17655</v>
      </c>
      <c r="N56">
        <v>91</v>
      </c>
      <c r="O56" s="153">
        <v>26223</v>
      </c>
      <c r="P56">
        <v>25931</v>
      </c>
      <c r="Q56">
        <v>5238</v>
      </c>
      <c r="R56">
        <v>26223</v>
      </c>
      <c r="S56">
        <v>0.201997609039374</v>
      </c>
      <c r="T56">
        <v>0</v>
      </c>
      <c r="U56">
        <v>7820</v>
      </c>
    </row>
    <row r="57" spans="2:21">
      <c r="B57" s="152"/>
      <c r="C57" s="151" t="s">
        <v>5</v>
      </c>
      <c r="D57">
        <v>1</v>
      </c>
      <c r="E57" s="153">
        <v>1</v>
      </c>
      <c r="F57">
        <v>4199</v>
      </c>
      <c r="G57">
        <v>4165</v>
      </c>
      <c r="H57">
        <v>3135</v>
      </c>
      <c r="I57">
        <v>8984</v>
      </c>
      <c r="J57">
        <v>8863</v>
      </c>
      <c r="K57">
        <v>5</v>
      </c>
      <c r="L57">
        <v>63678</v>
      </c>
      <c r="M57">
        <v>62657</v>
      </c>
      <c r="N57">
        <v>12</v>
      </c>
      <c r="O57" s="153">
        <v>76861</v>
      </c>
      <c r="P57">
        <v>75685</v>
      </c>
      <c r="Q57">
        <v>3152</v>
      </c>
      <c r="R57">
        <v>76861</v>
      </c>
      <c r="S57">
        <v>0.0416462971526723</v>
      </c>
      <c r="T57">
        <v>0</v>
      </c>
      <c r="U57">
        <v>67551</v>
      </c>
    </row>
    <row r="58" spans="2:21">
      <c r="B58" s="152" t="s">
        <v>16</v>
      </c>
      <c r="C58" s="151" t="s">
        <v>1</v>
      </c>
      <c r="D58" t="s">
        <v>48</v>
      </c>
      <c r="E58" s="153" t="s">
        <v>48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153">
        <v>0</v>
      </c>
      <c r="P58">
        <v>0</v>
      </c>
      <c r="Q58">
        <v>0</v>
      </c>
      <c r="R58">
        <v>0</v>
      </c>
      <c r="S58" t="s">
        <v>48</v>
      </c>
      <c r="T58">
        <v>0</v>
      </c>
      <c r="U58">
        <v>0</v>
      </c>
    </row>
    <row r="59" spans="2:21">
      <c r="B59" s="152"/>
      <c r="C59" s="151" t="s">
        <v>2</v>
      </c>
      <c r="D59">
        <v>0.919561243144424</v>
      </c>
      <c r="E59" s="153">
        <v>0.91970802919708</v>
      </c>
      <c r="F59">
        <v>504</v>
      </c>
      <c r="G59">
        <v>504</v>
      </c>
      <c r="H59">
        <v>503</v>
      </c>
      <c r="I59">
        <v>32</v>
      </c>
      <c r="J59">
        <v>31</v>
      </c>
      <c r="K59">
        <v>23</v>
      </c>
      <c r="L59">
        <v>12</v>
      </c>
      <c r="M59">
        <v>12</v>
      </c>
      <c r="N59">
        <v>9</v>
      </c>
      <c r="O59" s="153">
        <v>548</v>
      </c>
      <c r="P59">
        <v>547</v>
      </c>
      <c r="Q59">
        <v>535</v>
      </c>
      <c r="R59">
        <v>504</v>
      </c>
      <c r="S59">
        <v>0.978062157221207</v>
      </c>
      <c r="T59">
        <v>44</v>
      </c>
      <c r="U59">
        <v>23</v>
      </c>
    </row>
    <row r="60" spans="2:21">
      <c r="B60" s="152"/>
      <c r="C60" s="151" t="s">
        <v>3</v>
      </c>
      <c r="D60">
        <v>0.889919972756683</v>
      </c>
      <c r="E60" s="153">
        <v>0.88967395930876</v>
      </c>
      <c r="F60">
        <v>1791</v>
      </c>
      <c r="G60">
        <v>1791</v>
      </c>
      <c r="H60">
        <v>1760</v>
      </c>
      <c r="I60">
        <v>8660</v>
      </c>
      <c r="J60">
        <v>8611</v>
      </c>
      <c r="K60">
        <v>8195</v>
      </c>
      <c r="L60">
        <v>1296</v>
      </c>
      <c r="M60">
        <v>1282</v>
      </c>
      <c r="N60">
        <v>949</v>
      </c>
      <c r="O60" s="153">
        <v>11747</v>
      </c>
      <c r="P60">
        <v>11684</v>
      </c>
      <c r="Q60">
        <v>10904</v>
      </c>
      <c r="R60">
        <v>10451</v>
      </c>
      <c r="S60">
        <v>0.933242040397124</v>
      </c>
      <c r="T60">
        <v>1296</v>
      </c>
      <c r="U60">
        <v>2887</v>
      </c>
    </row>
    <row r="61" spans="2:21">
      <c r="B61" s="152"/>
      <c r="C61" s="151" t="s">
        <v>4</v>
      </c>
      <c r="D61">
        <v>1</v>
      </c>
      <c r="E61" s="153">
        <v>1</v>
      </c>
      <c r="F61">
        <v>1987</v>
      </c>
      <c r="G61">
        <v>1983</v>
      </c>
      <c r="H61">
        <v>1877</v>
      </c>
      <c r="I61">
        <v>17136</v>
      </c>
      <c r="J61">
        <v>16963</v>
      </c>
      <c r="K61">
        <v>15200</v>
      </c>
      <c r="L61">
        <v>6277</v>
      </c>
      <c r="M61">
        <v>6182</v>
      </c>
      <c r="N61">
        <v>4180</v>
      </c>
      <c r="O61" s="153">
        <v>25400</v>
      </c>
      <c r="P61">
        <v>25128</v>
      </c>
      <c r="Q61">
        <v>21257</v>
      </c>
      <c r="R61">
        <v>25400</v>
      </c>
      <c r="S61">
        <v>0.845948742438714</v>
      </c>
      <c r="T61">
        <v>0</v>
      </c>
      <c r="U61">
        <v>7443</v>
      </c>
    </row>
    <row r="62" spans="2:21">
      <c r="B62" s="152"/>
      <c r="C62" s="151" t="s">
        <v>5</v>
      </c>
      <c r="D62">
        <v>1</v>
      </c>
      <c r="E62" s="153">
        <v>1</v>
      </c>
      <c r="F62">
        <v>2070</v>
      </c>
      <c r="G62">
        <v>2046</v>
      </c>
      <c r="H62">
        <v>1503</v>
      </c>
      <c r="I62">
        <v>49652</v>
      </c>
      <c r="J62">
        <v>48878</v>
      </c>
      <c r="K62">
        <v>38924</v>
      </c>
      <c r="L62">
        <v>32264</v>
      </c>
      <c r="M62">
        <v>31689</v>
      </c>
      <c r="N62">
        <v>21541</v>
      </c>
      <c r="O62" s="153">
        <v>83986</v>
      </c>
      <c r="P62">
        <v>82613</v>
      </c>
      <c r="Q62">
        <v>61968</v>
      </c>
      <c r="R62">
        <v>83986</v>
      </c>
      <c r="S62">
        <v>0.750099863217653</v>
      </c>
      <c r="T62">
        <v>0</v>
      </c>
      <c r="U62">
        <v>58907</v>
      </c>
    </row>
    <row r="63" spans="2:21">
      <c r="B63" s="152" t="s">
        <v>17</v>
      </c>
      <c r="C63" s="151" t="s">
        <v>1</v>
      </c>
      <c r="D63" t="s">
        <v>48</v>
      </c>
      <c r="E63" s="153" t="s">
        <v>48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153">
        <v>0</v>
      </c>
      <c r="P63">
        <v>0</v>
      </c>
      <c r="Q63">
        <v>0</v>
      </c>
      <c r="R63">
        <v>0</v>
      </c>
      <c r="S63" t="s">
        <v>48</v>
      </c>
      <c r="T63">
        <v>0</v>
      </c>
      <c r="U63">
        <v>0</v>
      </c>
    </row>
    <row r="64" spans="2:21">
      <c r="B64" s="152"/>
      <c r="C64" s="151" t="s">
        <v>2</v>
      </c>
      <c r="D64">
        <v>0.951388888888889</v>
      </c>
      <c r="E64" s="153">
        <v>0.964788732394366</v>
      </c>
      <c r="F64">
        <v>274</v>
      </c>
      <c r="G64">
        <v>274</v>
      </c>
      <c r="H64">
        <v>274</v>
      </c>
      <c r="I64">
        <v>8</v>
      </c>
      <c r="J64">
        <v>8</v>
      </c>
      <c r="K64">
        <v>4</v>
      </c>
      <c r="L64">
        <v>2</v>
      </c>
      <c r="M64">
        <v>2</v>
      </c>
      <c r="N64">
        <v>0</v>
      </c>
      <c r="O64" s="153">
        <v>284</v>
      </c>
      <c r="P64">
        <v>284</v>
      </c>
      <c r="Q64">
        <v>278</v>
      </c>
      <c r="R64">
        <v>274</v>
      </c>
      <c r="S64">
        <v>0.97887323943662</v>
      </c>
      <c r="T64">
        <v>10</v>
      </c>
      <c r="U64">
        <v>18</v>
      </c>
    </row>
    <row r="65" spans="2:21">
      <c r="B65" s="152"/>
      <c r="C65" s="151" t="s">
        <v>3</v>
      </c>
      <c r="D65">
        <v>0.912591389114541</v>
      </c>
      <c r="E65" s="153">
        <v>0.922952149229522</v>
      </c>
      <c r="F65">
        <v>5396</v>
      </c>
      <c r="G65">
        <v>5395</v>
      </c>
      <c r="H65">
        <v>5324</v>
      </c>
      <c r="I65">
        <v>294</v>
      </c>
      <c r="J65">
        <v>291</v>
      </c>
      <c r="K65">
        <v>50</v>
      </c>
      <c r="L65">
        <v>475</v>
      </c>
      <c r="M65">
        <v>464</v>
      </c>
      <c r="N65">
        <v>81</v>
      </c>
      <c r="O65" s="153">
        <v>6165</v>
      </c>
      <c r="P65">
        <v>6150</v>
      </c>
      <c r="Q65">
        <v>5455</v>
      </c>
      <c r="R65">
        <v>5690</v>
      </c>
      <c r="S65">
        <v>0.886991869918699</v>
      </c>
      <c r="T65">
        <v>475</v>
      </c>
      <c r="U65">
        <v>1177</v>
      </c>
    </row>
    <row r="66" spans="2:21">
      <c r="B66" s="152"/>
      <c r="C66" s="151" t="s">
        <v>4</v>
      </c>
      <c r="D66">
        <v>1</v>
      </c>
      <c r="E66" s="153">
        <v>1</v>
      </c>
      <c r="F66">
        <v>7905</v>
      </c>
      <c r="G66">
        <v>7900</v>
      </c>
      <c r="H66">
        <v>7641</v>
      </c>
      <c r="I66">
        <v>1427</v>
      </c>
      <c r="J66">
        <v>1414</v>
      </c>
      <c r="K66">
        <v>257</v>
      </c>
      <c r="L66">
        <v>3237</v>
      </c>
      <c r="M66">
        <v>3205</v>
      </c>
      <c r="N66">
        <v>584</v>
      </c>
      <c r="O66" s="153">
        <v>12569</v>
      </c>
      <c r="P66">
        <v>12519</v>
      </c>
      <c r="Q66">
        <v>8482</v>
      </c>
      <c r="R66">
        <v>12569</v>
      </c>
      <c r="S66">
        <v>0.677530154165668</v>
      </c>
      <c r="T66">
        <v>0</v>
      </c>
      <c r="U66">
        <v>3407</v>
      </c>
    </row>
    <row r="67" spans="2:21">
      <c r="B67" s="152"/>
      <c r="C67" s="151" t="s">
        <v>5</v>
      </c>
      <c r="D67">
        <v>1</v>
      </c>
      <c r="E67" s="153">
        <v>1</v>
      </c>
      <c r="F67">
        <v>8913</v>
      </c>
      <c r="G67">
        <v>8889</v>
      </c>
      <c r="H67">
        <v>7760</v>
      </c>
      <c r="I67">
        <v>8852</v>
      </c>
      <c r="J67">
        <v>8747</v>
      </c>
      <c r="K67">
        <v>1322</v>
      </c>
      <c r="L67">
        <v>19254</v>
      </c>
      <c r="M67">
        <v>18920</v>
      </c>
      <c r="N67">
        <v>1016</v>
      </c>
      <c r="O67" s="153">
        <v>37019</v>
      </c>
      <c r="P67">
        <v>36556</v>
      </c>
      <c r="Q67">
        <v>10098</v>
      </c>
      <c r="R67">
        <v>37019</v>
      </c>
      <c r="S67">
        <v>0.276233723602145</v>
      </c>
      <c r="T67">
        <v>0</v>
      </c>
      <c r="U67">
        <v>32324</v>
      </c>
    </row>
    <row r="68" spans="2:21">
      <c r="B68" s="152" t="s">
        <v>18</v>
      </c>
      <c r="C68" s="151" t="s">
        <v>1</v>
      </c>
      <c r="D68" t="s">
        <v>48</v>
      </c>
      <c r="E68" s="153" t="s">
        <v>48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153">
        <v>0</v>
      </c>
      <c r="P68">
        <v>0</v>
      </c>
      <c r="Q68">
        <v>0</v>
      </c>
      <c r="R68">
        <v>0</v>
      </c>
      <c r="S68" t="s">
        <v>48</v>
      </c>
      <c r="T68">
        <v>0</v>
      </c>
      <c r="U68">
        <v>0</v>
      </c>
    </row>
    <row r="69" spans="2:21">
      <c r="B69" s="152"/>
      <c r="C69" s="151" t="s">
        <v>2</v>
      </c>
      <c r="D69">
        <v>0.898876404494382</v>
      </c>
      <c r="E69" s="153">
        <v>0.898876404494382</v>
      </c>
      <c r="F69">
        <v>160</v>
      </c>
      <c r="G69">
        <v>160</v>
      </c>
      <c r="H69">
        <v>160</v>
      </c>
      <c r="I69">
        <v>0</v>
      </c>
      <c r="J69">
        <v>0</v>
      </c>
      <c r="K69">
        <v>0</v>
      </c>
      <c r="L69">
        <v>18</v>
      </c>
      <c r="M69">
        <v>18</v>
      </c>
      <c r="N69">
        <v>18</v>
      </c>
      <c r="O69" s="153">
        <v>178</v>
      </c>
      <c r="P69">
        <v>178</v>
      </c>
      <c r="Q69">
        <v>178</v>
      </c>
      <c r="R69">
        <v>160</v>
      </c>
      <c r="S69">
        <v>1</v>
      </c>
      <c r="T69">
        <v>18</v>
      </c>
      <c r="U69">
        <v>3</v>
      </c>
    </row>
    <row r="70" spans="2:21">
      <c r="B70" s="152"/>
      <c r="C70" s="151" t="s">
        <v>3</v>
      </c>
      <c r="D70">
        <v>0.948551263001486</v>
      </c>
      <c r="E70" s="153">
        <v>0.949256505576208</v>
      </c>
      <c r="F70">
        <v>1816</v>
      </c>
      <c r="G70">
        <v>1816</v>
      </c>
      <c r="H70">
        <v>1807</v>
      </c>
      <c r="I70">
        <v>3291</v>
      </c>
      <c r="J70">
        <v>3275</v>
      </c>
      <c r="K70">
        <v>3243</v>
      </c>
      <c r="L70">
        <v>273</v>
      </c>
      <c r="M70">
        <v>269</v>
      </c>
      <c r="N70">
        <v>228</v>
      </c>
      <c r="O70" s="153">
        <v>5380</v>
      </c>
      <c r="P70">
        <v>5360</v>
      </c>
      <c r="Q70">
        <v>5278</v>
      </c>
      <c r="R70">
        <v>5107</v>
      </c>
      <c r="S70">
        <v>0.984701492537313</v>
      </c>
      <c r="T70">
        <v>273</v>
      </c>
      <c r="U70">
        <v>1302</v>
      </c>
    </row>
    <row r="71" spans="2:21">
      <c r="B71" s="152"/>
      <c r="C71" s="151" t="s">
        <v>4</v>
      </c>
      <c r="D71">
        <v>1</v>
      </c>
      <c r="E71" s="153">
        <v>1</v>
      </c>
      <c r="F71">
        <v>2295</v>
      </c>
      <c r="G71">
        <v>2289</v>
      </c>
      <c r="H71">
        <v>2105</v>
      </c>
      <c r="I71">
        <v>3458</v>
      </c>
      <c r="J71">
        <v>3444</v>
      </c>
      <c r="K71">
        <v>2532</v>
      </c>
      <c r="L71">
        <v>7711</v>
      </c>
      <c r="M71">
        <v>7643</v>
      </c>
      <c r="N71">
        <v>3261</v>
      </c>
      <c r="O71" s="153">
        <v>13464</v>
      </c>
      <c r="P71">
        <v>13376</v>
      </c>
      <c r="Q71">
        <v>7898</v>
      </c>
      <c r="R71">
        <v>13464</v>
      </c>
      <c r="S71">
        <v>0.590460526315789</v>
      </c>
      <c r="T71">
        <v>0</v>
      </c>
      <c r="U71">
        <v>3442</v>
      </c>
    </row>
    <row r="72" spans="2:21">
      <c r="B72" s="152"/>
      <c r="C72" s="151" t="s">
        <v>5</v>
      </c>
      <c r="D72">
        <v>1</v>
      </c>
      <c r="E72" s="153">
        <v>1</v>
      </c>
      <c r="F72">
        <v>3425</v>
      </c>
      <c r="G72">
        <v>3390</v>
      </c>
      <c r="H72">
        <v>2471</v>
      </c>
      <c r="I72">
        <v>10416</v>
      </c>
      <c r="J72">
        <v>10257</v>
      </c>
      <c r="K72">
        <v>5796</v>
      </c>
      <c r="L72">
        <v>30287</v>
      </c>
      <c r="M72">
        <v>29637</v>
      </c>
      <c r="N72">
        <v>7540</v>
      </c>
      <c r="O72" s="153">
        <v>44128</v>
      </c>
      <c r="P72">
        <v>43284</v>
      </c>
      <c r="Q72">
        <v>15807</v>
      </c>
      <c r="R72">
        <v>44128</v>
      </c>
      <c r="S72">
        <v>0.365192680898253</v>
      </c>
      <c r="T72">
        <v>0</v>
      </c>
      <c r="U72">
        <v>22923</v>
      </c>
    </row>
    <row r="73" spans="2:21">
      <c r="B73" s="152" t="s">
        <v>19</v>
      </c>
      <c r="C73" s="151" t="s">
        <v>1</v>
      </c>
      <c r="D73" t="s">
        <v>48</v>
      </c>
      <c r="E73" s="153" t="s">
        <v>48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153">
        <v>0</v>
      </c>
      <c r="P73">
        <v>0</v>
      </c>
      <c r="Q73">
        <v>0</v>
      </c>
      <c r="R73">
        <v>0</v>
      </c>
      <c r="S73" t="s">
        <v>48</v>
      </c>
      <c r="T73">
        <v>0</v>
      </c>
      <c r="U73">
        <v>0</v>
      </c>
    </row>
    <row r="74" spans="2:21">
      <c r="B74" s="152"/>
      <c r="C74" s="151" t="s">
        <v>2</v>
      </c>
      <c r="D74">
        <v>0.978835978835979</v>
      </c>
      <c r="E74" s="153">
        <v>0.978835978835979</v>
      </c>
      <c r="F74">
        <v>185</v>
      </c>
      <c r="G74">
        <v>181</v>
      </c>
      <c r="H74">
        <v>178</v>
      </c>
      <c r="I74">
        <v>3</v>
      </c>
      <c r="J74">
        <v>3</v>
      </c>
      <c r="K74">
        <v>1</v>
      </c>
      <c r="L74">
        <v>1</v>
      </c>
      <c r="M74">
        <v>1</v>
      </c>
      <c r="N74">
        <v>0</v>
      </c>
      <c r="O74" s="153">
        <v>189</v>
      </c>
      <c r="P74">
        <v>185</v>
      </c>
      <c r="Q74">
        <v>179</v>
      </c>
      <c r="R74">
        <v>185</v>
      </c>
      <c r="S74">
        <v>0.967567567567568</v>
      </c>
      <c r="T74">
        <v>4</v>
      </c>
      <c r="U74">
        <v>3</v>
      </c>
    </row>
    <row r="75" spans="2:21">
      <c r="B75" s="152"/>
      <c r="C75" s="151" t="s">
        <v>3</v>
      </c>
      <c r="D75">
        <v>0.954678362573099</v>
      </c>
      <c r="E75" s="153">
        <v>0.954445797807552</v>
      </c>
      <c r="F75">
        <v>937</v>
      </c>
      <c r="G75">
        <v>921</v>
      </c>
      <c r="H75">
        <v>907</v>
      </c>
      <c r="I75">
        <v>2981</v>
      </c>
      <c r="J75">
        <v>2964</v>
      </c>
      <c r="K75">
        <v>2519</v>
      </c>
      <c r="L75">
        <v>187</v>
      </c>
      <c r="M75">
        <v>184</v>
      </c>
      <c r="N75">
        <v>14</v>
      </c>
      <c r="O75" s="153">
        <v>4105</v>
      </c>
      <c r="P75">
        <v>4069</v>
      </c>
      <c r="Q75">
        <v>3440</v>
      </c>
      <c r="R75">
        <v>3918</v>
      </c>
      <c r="S75">
        <v>0.845416564266405</v>
      </c>
      <c r="T75">
        <v>187</v>
      </c>
      <c r="U75">
        <v>869</v>
      </c>
    </row>
    <row r="76" spans="2:21">
      <c r="B76" s="152"/>
      <c r="C76" s="151" t="s">
        <v>4</v>
      </c>
      <c r="D76">
        <v>1</v>
      </c>
      <c r="E76" s="153">
        <v>1</v>
      </c>
      <c r="F76">
        <v>2040</v>
      </c>
      <c r="G76">
        <v>2036</v>
      </c>
      <c r="H76">
        <v>1979</v>
      </c>
      <c r="I76">
        <v>4626</v>
      </c>
      <c r="J76">
        <v>4568</v>
      </c>
      <c r="K76">
        <v>3437</v>
      </c>
      <c r="L76">
        <v>2271</v>
      </c>
      <c r="M76">
        <v>2227</v>
      </c>
      <c r="N76">
        <v>775</v>
      </c>
      <c r="O76" s="153">
        <v>8937</v>
      </c>
      <c r="P76">
        <v>8831</v>
      </c>
      <c r="Q76">
        <v>6191</v>
      </c>
      <c r="R76">
        <v>8937</v>
      </c>
      <c r="S76">
        <v>0.701053108368248</v>
      </c>
      <c r="T76">
        <v>0</v>
      </c>
      <c r="U76">
        <v>2012</v>
      </c>
    </row>
    <row r="77" spans="2:21">
      <c r="B77" s="152"/>
      <c r="C77" s="151" t="s">
        <v>5</v>
      </c>
      <c r="D77">
        <v>1</v>
      </c>
      <c r="E77" s="153">
        <v>1</v>
      </c>
      <c r="F77">
        <v>1043</v>
      </c>
      <c r="G77">
        <v>1039</v>
      </c>
      <c r="H77">
        <v>877</v>
      </c>
      <c r="I77">
        <v>16942</v>
      </c>
      <c r="J77">
        <v>16561</v>
      </c>
      <c r="K77">
        <v>8236</v>
      </c>
      <c r="L77">
        <v>10577</v>
      </c>
      <c r="M77">
        <v>10219</v>
      </c>
      <c r="N77">
        <v>1614</v>
      </c>
      <c r="O77" s="153">
        <v>28562</v>
      </c>
      <c r="P77">
        <v>27819</v>
      </c>
      <c r="Q77">
        <v>10727</v>
      </c>
      <c r="R77">
        <v>28562</v>
      </c>
      <c r="S77">
        <v>0.385599769941407</v>
      </c>
      <c r="T77">
        <v>0</v>
      </c>
      <c r="U77">
        <v>13301</v>
      </c>
    </row>
    <row r="78" spans="2:21">
      <c r="B78" s="152" t="s">
        <v>20</v>
      </c>
      <c r="C78" s="151" t="s">
        <v>1</v>
      </c>
      <c r="D78" t="s">
        <v>48</v>
      </c>
      <c r="E78" s="153" t="s">
        <v>48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153">
        <v>0</v>
      </c>
      <c r="P78">
        <v>0</v>
      </c>
      <c r="Q78">
        <v>0</v>
      </c>
      <c r="R78">
        <v>0</v>
      </c>
      <c r="S78" t="s">
        <v>48</v>
      </c>
      <c r="T78">
        <v>0</v>
      </c>
      <c r="U78">
        <v>0</v>
      </c>
    </row>
    <row r="79" spans="2:21">
      <c r="B79" s="152"/>
      <c r="C79" s="151" t="s">
        <v>2</v>
      </c>
      <c r="D79">
        <v>0.991847826086957</v>
      </c>
      <c r="E79" s="153">
        <v>0.991913746630728</v>
      </c>
      <c r="F79">
        <v>368</v>
      </c>
      <c r="G79">
        <v>368</v>
      </c>
      <c r="H79">
        <v>363</v>
      </c>
      <c r="I79">
        <v>1</v>
      </c>
      <c r="J79">
        <v>1</v>
      </c>
      <c r="K79">
        <v>1</v>
      </c>
      <c r="L79">
        <v>2</v>
      </c>
      <c r="M79">
        <v>2</v>
      </c>
      <c r="N79">
        <v>0</v>
      </c>
      <c r="O79" s="153">
        <v>371</v>
      </c>
      <c r="P79">
        <v>371</v>
      </c>
      <c r="Q79">
        <v>364</v>
      </c>
      <c r="R79">
        <v>368</v>
      </c>
      <c r="S79">
        <v>0.981132075471698</v>
      </c>
      <c r="T79">
        <v>3</v>
      </c>
      <c r="U79">
        <v>6</v>
      </c>
    </row>
    <row r="80" spans="2:21">
      <c r="B80" s="152"/>
      <c r="C80" s="151" t="s">
        <v>3</v>
      </c>
      <c r="D80">
        <v>0.962789551503204</v>
      </c>
      <c r="E80" s="153">
        <v>0.963255240443896</v>
      </c>
      <c r="F80">
        <v>2796</v>
      </c>
      <c r="G80">
        <v>2795</v>
      </c>
      <c r="H80">
        <v>2701</v>
      </c>
      <c r="I80">
        <v>1110</v>
      </c>
      <c r="J80">
        <v>1110</v>
      </c>
      <c r="K80">
        <v>1055</v>
      </c>
      <c r="L80">
        <v>149</v>
      </c>
      <c r="M80">
        <v>147</v>
      </c>
      <c r="N80">
        <v>21</v>
      </c>
      <c r="O80" s="153">
        <v>4055</v>
      </c>
      <c r="P80">
        <v>4052</v>
      </c>
      <c r="Q80">
        <v>3777</v>
      </c>
      <c r="R80">
        <v>3906</v>
      </c>
      <c r="S80">
        <v>0.93213228035538</v>
      </c>
      <c r="T80">
        <v>149</v>
      </c>
      <c r="U80">
        <v>1005</v>
      </c>
    </row>
    <row r="81" spans="2:21">
      <c r="B81" s="152"/>
      <c r="C81" s="151" t="s">
        <v>4</v>
      </c>
      <c r="D81">
        <v>1</v>
      </c>
      <c r="E81" s="153">
        <v>1</v>
      </c>
      <c r="F81">
        <v>3243</v>
      </c>
      <c r="G81">
        <v>3226</v>
      </c>
      <c r="H81">
        <v>2255</v>
      </c>
      <c r="I81">
        <v>1916</v>
      </c>
      <c r="J81">
        <v>1903</v>
      </c>
      <c r="K81">
        <v>683</v>
      </c>
      <c r="L81">
        <v>3661</v>
      </c>
      <c r="M81">
        <v>3599</v>
      </c>
      <c r="N81">
        <v>659</v>
      </c>
      <c r="O81" s="153">
        <v>8820</v>
      </c>
      <c r="P81">
        <v>8728</v>
      </c>
      <c r="Q81">
        <v>3597</v>
      </c>
      <c r="R81">
        <v>8820</v>
      </c>
      <c r="S81">
        <v>0.412121906507791</v>
      </c>
      <c r="T81">
        <v>0</v>
      </c>
      <c r="U81">
        <v>3572</v>
      </c>
    </row>
    <row r="82" spans="2:21">
      <c r="B82" s="152"/>
      <c r="C82" s="151" t="s">
        <v>5</v>
      </c>
      <c r="D82">
        <v>1</v>
      </c>
      <c r="E82" s="153">
        <v>1</v>
      </c>
      <c r="F82">
        <v>3551</v>
      </c>
      <c r="G82">
        <v>3508</v>
      </c>
      <c r="H82">
        <v>1358</v>
      </c>
      <c r="I82">
        <v>5670</v>
      </c>
      <c r="J82">
        <v>5563</v>
      </c>
      <c r="K82">
        <v>1342</v>
      </c>
      <c r="L82">
        <v>11327</v>
      </c>
      <c r="M82">
        <v>11036</v>
      </c>
      <c r="N82">
        <v>1023</v>
      </c>
      <c r="O82" s="153">
        <v>20548</v>
      </c>
      <c r="P82">
        <v>20107</v>
      </c>
      <c r="Q82">
        <v>3723</v>
      </c>
      <c r="R82">
        <v>20548</v>
      </c>
      <c r="S82">
        <v>0.185159397224847</v>
      </c>
      <c r="T82">
        <v>0</v>
      </c>
      <c r="U82">
        <v>19631</v>
      </c>
    </row>
    <row r="83" spans="2:21">
      <c r="B83" s="152" t="s">
        <v>21</v>
      </c>
      <c r="C83" s="151" t="s">
        <v>1</v>
      </c>
      <c r="D83" t="s">
        <v>48</v>
      </c>
      <c r="E83" s="153" t="s">
        <v>48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s="153">
        <v>0</v>
      </c>
      <c r="P83">
        <v>0</v>
      </c>
      <c r="Q83">
        <v>0</v>
      </c>
      <c r="R83">
        <v>0</v>
      </c>
      <c r="S83" t="s">
        <v>48</v>
      </c>
      <c r="T83">
        <v>0</v>
      </c>
      <c r="U83">
        <v>0</v>
      </c>
    </row>
    <row r="84" spans="2:21">
      <c r="B84" s="152"/>
      <c r="C84" s="151" t="s">
        <v>2</v>
      </c>
      <c r="D84">
        <v>0.988439306358382</v>
      </c>
      <c r="E84" s="153">
        <v>0.988439306358382</v>
      </c>
      <c r="F84">
        <v>171</v>
      </c>
      <c r="G84">
        <v>171</v>
      </c>
      <c r="H84">
        <v>154</v>
      </c>
      <c r="I84">
        <v>1</v>
      </c>
      <c r="J84">
        <v>1</v>
      </c>
      <c r="K84">
        <v>0</v>
      </c>
      <c r="L84">
        <v>1</v>
      </c>
      <c r="M84">
        <v>1</v>
      </c>
      <c r="N84">
        <v>0</v>
      </c>
      <c r="O84" s="153">
        <v>173</v>
      </c>
      <c r="P84">
        <v>173</v>
      </c>
      <c r="Q84">
        <v>154</v>
      </c>
      <c r="R84">
        <v>171</v>
      </c>
      <c r="S84">
        <v>0.890173410404624</v>
      </c>
      <c r="T84">
        <v>2</v>
      </c>
      <c r="U84">
        <v>2</v>
      </c>
    </row>
    <row r="85" spans="2:21">
      <c r="B85" s="152"/>
      <c r="C85" s="151" t="s">
        <v>3</v>
      </c>
      <c r="D85">
        <v>0.971440397350993</v>
      </c>
      <c r="E85" s="153">
        <v>0.970978441127695</v>
      </c>
      <c r="F85">
        <v>1673</v>
      </c>
      <c r="G85">
        <v>1672</v>
      </c>
      <c r="H85">
        <v>1476</v>
      </c>
      <c r="I85">
        <v>669</v>
      </c>
      <c r="J85">
        <v>665</v>
      </c>
      <c r="K85">
        <v>424</v>
      </c>
      <c r="L85">
        <v>70</v>
      </c>
      <c r="M85">
        <v>67</v>
      </c>
      <c r="N85">
        <v>4</v>
      </c>
      <c r="O85" s="153">
        <v>2412</v>
      </c>
      <c r="P85">
        <v>2404</v>
      </c>
      <c r="Q85">
        <v>1904</v>
      </c>
      <c r="R85">
        <v>2342</v>
      </c>
      <c r="S85">
        <v>0.792013311148086</v>
      </c>
      <c r="T85">
        <v>70</v>
      </c>
      <c r="U85">
        <v>522</v>
      </c>
    </row>
    <row r="86" spans="2:21">
      <c r="B86" s="152"/>
      <c r="C86" s="151" t="s">
        <v>4</v>
      </c>
      <c r="D86">
        <v>1</v>
      </c>
      <c r="E86" s="153">
        <v>1</v>
      </c>
      <c r="F86">
        <v>3081</v>
      </c>
      <c r="G86">
        <v>3073</v>
      </c>
      <c r="H86">
        <v>2464</v>
      </c>
      <c r="I86">
        <v>429</v>
      </c>
      <c r="J86">
        <v>423</v>
      </c>
      <c r="K86">
        <v>53</v>
      </c>
      <c r="L86">
        <v>4306</v>
      </c>
      <c r="M86">
        <v>4215</v>
      </c>
      <c r="N86">
        <v>472</v>
      </c>
      <c r="O86" s="153">
        <v>7816</v>
      </c>
      <c r="P86">
        <v>7711</v>
      </c>
      <c r="Q86">
        <v>2989</v>
      </c>
      <c r="R86">
        <v>7816</v>
      </c>
      <c r="S86">
        <v>0.387628063804954</v>
      </c>
      <c r="T86">
        <v>0</v>
      </c>
      <c r="U86">
        <v>1405</v>
      </c>
    </row>
    <row r="87" spans="2:21">
      <c r="B87" s="152"/>
      <c r="C87" s="151" t="s">
        <v>5</v>
      </c>
      <c r="D87">
        <v>1</v>
      </c>
      <c r="E87" s="153">
        <v>1</v>
      </c>
      <c r="F87">
        <v>511</v>
      </c>
      <c r="G87">
        <v>503</v>
      </c>
      <c r="H87">
        <v>215</v>
      </c>
      <c r="I87">
        <v>1429</v>
      </c>
      <c r="J87">
        <v>1390</v>
      </c>
      <c r="K87">
        <v>133</v>
      </c>
      <c r="L87">
        <v>10024</v>
      </c>
      <c r="M87">
        <v>9716</v>
      </c>
      <c r="N87">
        <v>477</v>
      </c>
      <c r="O87" s="153">
        <v>11964</v>
      </c>
      <c r="P87">
        <v>11609</v>
      </c>
      <c r="Q87">
        <v>825</v>
      </c>
      <c r="R87">
        <v>11964</v>
      </c>
      <c r="S87">
        <v>0.0710655525885089</v>
      </c>
      <c r="T87">
        <v>0</v>
      </c>
      <c r="U87">
        <v>6023</v>
      </c>
    </row>
    <row r="88" spans="2:21">
      <c r="B88" s="152" t="s">
        <v>22</v>
      </c>
      <c r="C88" s="151" t="s">
        <v>1</v>
      </c>
      <c r="D88" t="s">
        <v>48</v>
      </c>
      <c r="E88" s="153" t="s">
        <v>48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s="153">
        <v>0</v>
      </c>
      <c r="P88">
        <v>0</v>
      </c>
      <c r="Q88">
        <v>0</v>
      </c>
      <c r="R88">
        <v>0</v>
      </c>
      <c r="S88" t="s">
        <v>48</v>
      </c>
      <c r="T88">
        <v>0</v>
      </c>
      <c r="U88">
        <v>0</v>
      </c>
    </row>
    <row r="89" spans="2:21">
      <c r="B89" s="152"/>
      <c r="C89" s="151" t="s">
        <v>2</v>
      </c>
      <c r="D89">
        <v>0.854838709677419</v>
      </c>
      <c r="E89" s="153">
        <v>0.854838709677419</v>
      </c>
      <c r="F89">
        <v>53</v>
      </c>
      <c r="G89">
        <v>53</v>
      </c>
      <c r="H89">
        <v>53</v>
      </c>
      <c r="I89">
        <v>0</v>
      </c>
      <c r="J89">
        <v>0</v>
      </c>
      <c r="K89">
        <v>0</v>
      </c>
      <c r="L89">
        <v>9</v>
      </c>
      <c r="M89">
        <v>9</v>
      </c>
      <c r="N89">
        <v>9</v>
      </c>
      <c r="O89" s="153">
        <v>62</v>
      </c>
      <c r="P89">
        <v>62</v>
      </c>
      <c r="Q89">
        <v>62</v>
      </c>
      <c r="R89">
        <v>53</v>
      </c>
      <c r="S89">
        <v>1</v>
      </c>
      <c r="T89">
        <v>9</v>
      </c>
      <c r="U89">
        <v>0</v>
      </c>
    </row>
    <row r="90" spans="2:21">
      <c r="B90" s="152"/>
      <c r="C90" s="151" t="s">
        <v>3</v>
      </c>
      <c r="D90">
        <v>0.73082489146165</v>
      </c>
      <c r="E90" s="153">
        <v>0.730353280461428</v>
      </c>
      <c r="F90">
        <v>989</v>
      </c>
      <c r="G90">
        <v>988</v>
      </c>
      <c r="H90">
        <v>969</v>
      </c>
      <c r="I90">
        <v>24</v>
      </c>
      <c r="J90">
        <v>24</v>
      </c>
      <c r="K90">
        <v>14</v>
      </c>
      <c r="L90">
        <v>374</v>
      </c>
      <c r="M90">
        <v>372</v>
      </c>
      <c r="N90">
        <v>350</v>
      </c>
      <c r="O90" s="153">
        <v>1387</v>
      </c>
      <c r="P90">
        <v>1384</v>
      </c>
      <c r="Q90">
        <v>1333</v>
      </c>
      <c r="R90">
        <v>1013</v>
      </c>
      <c r="S90">
        <v>0.963150289017341</v>
      </c>
      <c r="T90">
        <v>374</v>
      </c>
      <c r="U90">
        <v>450</v>
      </c>
    </row>
    <row r="91" spans="2:21">
      <c r="B91" s="152"/>
      <c r="C91" s="151" t="s">
        <v>4</v>
      </c>
      <c r="D91">
        <v>1</v>
      </c>
      <c r="E91" s="153">
        <v>1</v>
      </c>
      <c r="F91">
        <v>3288</v>
      </c>
      <c r="G91">
        <v>3285</v>
      </c>
      <c r="H91">
        <v>3183</v>
      </c>
      <c r="I91">
        <v>79</v>
      </c>
      <c r="J91">
        <v>74</v>
      </c>
      <c r="K91">
        <v>1</v>
      </c>
      <c r="L91">
        <v>1910</v>
      </c>
      <c r="M91">
        <v>1780</v>
      </c>
      <c r="N91">
        <v>168</v>
      </c>
      <c r="O91" s="153">
        <v>5277</v>
      </c>
      <c r="P91">
        <v>5139</v>
      </c>
      <c r="Q91">
        <v>3352</v>
      </c>
      <c r="R91">
        <v>5277</v>
      </c>
      <c r="S91">
        <v>0.652266978011286</v>
      </c>
      <c r="T91">
        <v>0</v>
      </c>
      <c r="U91">
        <v>1101</v>
      </c>
    </row>
    <row r="92" spans="2:21">
      <c r="B92" s="152"/>
      <c r="C92" s="151" t="s">
        <v>5</v>
      </c>
      <c r="D92">
        <v>1</v>
      </c>
      <c r="E92" s="153">
        <v>1</v>
      </c>
      <c r="F92">
        <v>2345</v>
      </c>
      <c r="G92">
        <v>2336</v>
      </c>
      <c r="H92">
        <v>1991</v>
      </c>
      <c r="I92">
        <v>221</v>
      </c>
      <c r="J92">
        <v>216</v>
      </c>
      <c r="K92">
        <v>0</v>
      </c>
      <c r="L92">
        <v>6566</v>
      </c>
      <c r="M92">
        <v>6073</v>
      </c>
      <c r="N92">
        <v>85</v>
      </c>
      <c r="O92" s="153">
        <v>9132</v>
      </c>
      <c r="P92">
        <v>8625</v>
      </c>
      <c r="Q92">
        <v>2076</v>
      </c>
      <c r="R92">
        <v>9132</v>
      </c>
      <c r="S92">
        <v>0.240695652173913</v>
      </c>
      <c r="T92">
        <v>0</v>
      </c>
      <c r="U92">
        <v>3702</v>
      </c>
    </row>
    <row r="93" spans="2:21">
      <c r="B93" s="152" t="s">
        <v>23</v>
      </c>
      <c r="C93" s="151" t="s">
        <v>1</v>
      </c>
      <c r="D93" t="s">
        <v>48</v>
      </c>
      <c r="E93" s="153" t="s">
        <v>48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s="153">
        <v>0</v>
      </c>
      <c r="P93">
        <v>0</v>
      </c>
      <c r="Q93">
        <v>0</v>
      </c>
      <c r="R93">
        <v>0</v>
      </c>
      <c r="S93" t="s">
        <v>48</v>
      </c>
      <c r="T93">
        <v>0</v>
      </c>
      <c r="U93">
        <v>0</v>
      </c>
    </row>
    <row r="94" spans="2:21">
      <c r="B94" s="152"/>
      <c r="C94" s="151" t="s">
        <v>2</v>
      </c>
      <c r="D94">
        <v>1</v>
      </c>
      <c r="E94" s="153">
        <v>1</v>
      </c>
      <c r="F94">
        <v>44</v>
      </c>
      <c r="G94">
        <v>44</v>
      </c>
      <c r="H94">
        <v>44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s="153">
        <v>44</v>
      </c>
      <c r="P94">
        <v>44</v>
      </c>
      <c r="Q94">
        <v>44</v>
      </c>
      <c r="R94">
        <v>44</v>
      </c>
      <c r="S94">
        <v>1</v>
      </c>
      <c r="T94">
        <v>0</v>
      </c>
      <c r="U94">
        <v>0</v>
      </c>
    </row>
    <row r="95" spans="2:21">
      <c r="B95" s="152"/>
      <c r="C95" s="151" t="s">
        <v>3</v>
      </c>
      <c r="D95">
        <v>0.94269340974212</v>
      </c>
      <c r="E95" s="153">
        <v>0.94280266920877</v>
      </c>
      <c r="F95">
        <v>684</v>
      </c>
      <c r="G95">
        <v>683</v>
      </c>
      <c r="H95">
        <v>619</v>
      </c>
      <c r="I95">
        <v>305</v>
      </c>
      <c r="J95">
        <v>300</v>
      </c>
      <c r="K95">
        <v>285</v>
      </c>
      <c r="L95">
        <v>60</v>
      </c>
      <c r="M95">
        <v>41</v>
      </c>
      <c r="N95">
        <v>8</v>
      </c>
      <c r="O95" s="153">
        <v>1049</v>
      </c>
      <c r="P95">
        <v>1024</v>
      </c>
      <c r="Q95">
        <v>912</v>
      </c>
      <c r="R95">
        <v>989</v>
      </c>
      <c r="S95">
        <v>0.890625</v>
      </c>
      <c r="T95">
        <v>60</v>
      </c>
      <c r="U95">
        <v>357</v>
      </c>
    </row>
    <row r="96" spans="2:21">
      <c r="B96" s="152"/>
      <c r="C96" s="151" t="s">
        <v>4</v>
      </c>
      <c r="D96">
        <v>1</v>
      </c>
      <c r="E96" s="153">
        <v>1</v>
      </c>
      <c r="F96">
        <v>1083</v>
      </c>
      <c r="G96">
        <v>1076</v>
      </c>
      <c r="H96">
        <v>982</v>
      </c>
      <c r="I96">
        <v>324</v>
      </c>
      <c r="J96">
        <v>314</v>
      </c>
      <c r="K96">
        <v>46</v>
      </c>
      <c r="L96">
        <v>1608</v>
      </c>
      <c r="M96">
        <v>1504</v>
      </c>
      <c r="N96">
        <v>133</v>
      </c>
      <c r="O96" s="153">
        <v>3015</v>
      </c>
      <c r="P96">
        <v>2894</v>
      </c>
      <c r="Q96">
        <v>1161</v>
      </c>
      <c r="R96">
        <v>3015</v>
      </c>
      <c r="S96">
        <v>0.401174844505874</v>
      </c>
      <c r="T96">
        <v>0</v>
      </c>
      <c r="U96">
        <v>755</v>
      </c>
    </row>
    <row r="97" spans="2:21">
      <c r="B97" s="152"/>
      <c r="C97" s="151" t="s">
        <v>5</v>
      </c>
      <c r="D97">
        <v>1</v>
      </c>
      <c r="E97" s="153">
        <v>1</v>
      </c>
      <c r="F97">
        <v>619</v>
      </c>
      <c r="G97">
        <v>608</v>
      </c>
      <c r="H97">
        <v>332</v>
      </c>
      <c r="I97">
        <v>778</v>
      </c>
      <c r="J97">
        <v>757</v>
      </c>
      <c r="K97">
        <v>40</v>
      </c>
      <c r="L97">
        <v>4224</v>
      </c>
      <c r="M97">
        <v>3955</v>
      </c>
      <c r="N97">
        <v>144</v>
      </c>
      <c r="O97" s="153">
        <v>5621</v>
      </c>
      <c r="P97">
        <v>5320</v>
      </c>
      <c r="Q97">
        <v>516</v>
      </c>
      <c r="R97">
        <v>5621</v>
      </c>
      <c r="S97">
        <v>0.0969924812030075</v>
      </c>
      <c r="T97">
        <v>0</v>
      </c>
      <c r="U97">
        <v>1641</v>
      </c>
    </row>
    <row r="98" spans="2:21">
      <c r="B98" s="152" t="s">
        <v>24</v>
      </c>
      <c r="C98" s="151" t="s">
        <v>1</v>
      </c>
      <c r="D98" t="s">
        <v>48</v>
      </c>
      <c r="E98" s="153" t="s">
        <v>48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s="153">
        <v>0</v>
      </c>
      <c r="P98">
        <v>0</v>
      </c>
      <c r="Q98">
        <v>0</v>
      </c>
      <c r="R98">
        <v>0</v>
      </c>
      <c r="S98" t="s">
        <v>48</v>
      </c>
      <c r="T98">
        <v>0</v>
      </c>
      <c r="U98">
        <v>0</v>
      </c>
    </row>
    <row r="99" spans="2:21">
      <c r="B99" s="152"/>
      <c r="C99" s="151" t="s">
        <v>2</v>
      </c>
      <c r="D99">
        <v>1</v>
      </c>
      <c r="E99" s="153">
        <v>1</v>
      </c>
      <c r="F99">
        <v>11</v>
      </c>
      <c r="G99">
        <v>11</v>
      </c>
      <c r="H99">
        <v>11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s="153">
        <v>11</v>
      </c>
      <c r="P99">
        <v>11</v>
      </c>
      <c r="Q99">
        <v>11</v>
      </c>
      <c r="R99">
        <v>11</v>
      </c>
      <c r="S99">
        <v>1</v>
      </c>
      <c r="T99">
        <v>0</v>
      </c>
      <c r="U99">
        <v>2</v>
      </c>
    </row>
    <row r="100" spans="2:21">
      <c r="B100" s="152"/>
      <c r="C100" s="151" t="s">
        <v>3</v>
      </c>
      <c r="D100">
        <v>0.969404186795491</v>
      </c>
      <c r="E100" s="153">
        <v>0.969453376205788</v>
      </c>
      <c r="F100">
        <v>297</v>
      </c>
      <c r="G100">
        <v>297</v>
      </c>
      <c r="H100">
        <v>291</v>
      </c>
      <c r="I100">
        <v>306</v>
      </c>
      <c r="J100">
        <v>305</v>
      </c>
      <c r="K100">
        <v>304</v>
      </c>
      <c r="L100">
        <v>19</v>
      </c>
      <c r="M100">
        <v>18</v>
      </c>
      <c r="N100">
        <v>13</v>
      </c>
      <c r="O100" s="153">
        <v>622</v>
      </c>
      <c r="P100">
        <v>620</v>
      </c>
      <c r="Q100">
        <v>608</v>
      </c>
      <c r="R100">
        <v>603</v>
      </c>
      <c r="S100">
        <v>0.980645161290323</v>
      </c>
      <c r="T100">
        <v>19</v>
      </c>
      <c r="U100">
        <v>436</v>
      </c>
    </row>
    <row r="101" spans="2:21">
      <c r="B101" s="152"/>
      <c r="C101" s="151" t="s">
        <v>4</v>
      </c>
      <c r="D101">
        <v>1</v>
      </c>
      <c r="E101" s="153">
        <v>1</v>
      </c>
      <c r="F101">
        <v>1154</v>
      </c>
      <c r="G101">
        <v>1152</v>
      </c>
      <c r="H101">
        <v>1047</v>
      </c>
      <c r="I101">
        <v>0</v>
      </c>
      <c r="J101">
        <v>0</v>
      </c>
      <c r="K101">
        <v>0</v>
      </c>
      <c r="L101">
        <v>2168</v>
      </c>
      <c r="M101">
        <v>2094</v>
      </c>
      <c r="N101">
        <v>253</v>
      </c>
      <c r="O101" s="153">
        <v>3322</v>
      </c>
      <c r="P101">
        <v>3246</v>
      </c>
      <c r="Q101">
        <v>1300</v>
      </c>
      <c r="R101">
        <v>3322</v>
      </c>
      <c r="S101">
        <v>0.400492914356131</v>
      </c>
      <c r="T101">
        <v>0</v>
      </c>
      <c r="U101">
        <v>1106</v>
      </c>
    </row>
    <row r="102" spans="2:21">
      <c r="B102" s="152"/>
      <c r="C102" s="151" t="s">
        <v>5</v>
      </c>
      <c r="D102">
        <v>1</v>
      </c>
      <c r="E102" s="153">
        <v>1</v>
      </c>
      <c r="F102">
        <v>841</v>
      </c>
      <c r="G102">
        <v>832</v>
      </c>
      <c r="H102">
        <v>508</v>
      </c>
      <c r="I102">
        <v>0</v>
      </c>
      <c r="J102">
        <v>0</v>
      </c>
      <c r="K102">
        <v>0</v>
      </c>
      <c r="L102">
        <v>5751</v>
      </c>
      <c r="M102">
        <v>5333</v>
      </c>
      <c r="N102">
        <v>205</v>
      </c>
      <c r="O102" s="153">
        <v>6592</v>
      </c>
      <c r="P102">
        <v>6165</v>
      </c>
      <c r="Q102">
        <v>713</v>
      </c>
      <c r="R102">
        <v>6592</v>
      </c>
      <c r="S102">
        <v>0.115652879156529</v>
      </c>
      <c r="T102">
        <v>0</v>
      </c>
      <c r="U102">
        <v>3566</v>
      </c>
    </row>
    <row r="103" spans="2:21">
      <c r="B103" s="152" t="s">
        <v>25</v>
      </c>
      <c r="C103" s="151" t="s">
        <v>1</v>
      </c>
      <c r="D103" t="s">
        <v>48</v>
      </c>
      <c r="E103" s="153" t="s">
        <v>48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s="153">
        <v>0</v>
      </c>
      <c r="P103">
        <v>0</v>
      </c>
      <c r="Q103">
        <v>0</v>
      </c>
      <c r="R103">
        <v>0</v>
      </c>
      <c r="S103" t="s">
        <v>48</v>
      </c>
      <c r="T103">
        <v>0</v>
      </c>
      <c r="U103">
        <v>0</v>
      </c>
    </row>
    <row r="104" spans="2:21">
      <c r="B104" s="152"/>
      <c r="C104" s="151" t="s">
        <v>2</v>
      </c>
      <c r="D104">
        <v>0.948717948717949</v>
      </c>
      <c r="E104" s="153">
        <v>0.948717948717949</v>
      </c>
      <c r="F104">
        <v>37</v>
      </c>
      <c r="G104">
        <v>37</v>
      </c>
      <c r="H104">
        <v>37</v>
      </c>
      <c r="I104">
        <v>2</v>
      </c>
      <c r="J104">
        <v>2</v>
      </c>
      <c r="K104">
        <v>2</v>
      </c>
      <c r="L104">
        <v>0</v>
      </c>
      <c r="M104">
        <v>0</v>
      </c>
      <c r="N104">
        <v>0</v>
      </c>
      <c r="O104" s="153">
        <v>39</v>
      </c>
      <c r="P104">
        <v>39</v>
      </c>
      <c r="Q104">
        <v>39</v>
      </c>
      <c r="R104">
        <v>37</v>
      </c>
      <c r="S104">
        <v>1</v>
      </c>
      <c r="T104">
        <v>2</v>
      </c>
      <c r="U104">
        <v>0</v>
      </c>
    </row>
    <row r="105" spans="2:21">
      <c r="B105" s="152"/>
      <c r="C105" s="151" t="s">
        <v>3</v>
      </c>
      <c r="D105">
        <v>0.901215805471125</v>
      </c>
      <c r="E105" s="153">
        <v>0.901215805471125</v>
      </c>
      <c r="F105">
        <v>1082</v>
      </c>
      <c r="G105">
        <v>1078</v>
      </c>
      <c r="H105">
        <v>964</v>
      </c>
      <c r="I105">
        <v>104</v>
      </c>
      <c r="J105">
        <v>103</v>
      </c>
      <c r="K105">
        <v>60</v>
      </c>
      <c r="L105">
        <v>130</v>
      </c>
      <c r="M105">
        <v>127</v>
      </c>
      <c r="N105">
        <v>101</v>
      </c>
      <c r="O105" s="153">
        <v>1316</v>
      </c>
      <c r="P105">
        <v>1308</v>
      </c>
      <c r="Q105">
        <v>1125</v>
      </c>
      <c r="R105">
        <v>1186</v>
      </c>
      <c r="S105">
        <v>0.860091743119266</v>
      </c>
      <c r="T105">
        <v>130</v>
      </c>
      <c r="U105">
        <v>446</v>
      </c>
    </row>
    <row r="106" spans="2:21">
      <c r="B106" s="152"/>
      <c r="C106" s="151" t="s">
        <v>4</v>
      </c>
      <c r="D106">
        <v>1</v>
      </c>
      <c r="E106" s="153">
        <v>1</v>
      </c>
      <c r="F106">
        <v>3840</v>
      </c>
      <c r="G106">
        <v>3770</v>
      </c>
      <c r="H106">
        <v>3089</v>
      </c>
      <c r="I106">
        <v>570</v>
      </c>
      <c r="J106">
        <v>564</v>
      </c>
      <c r="K106">
        <v>329</v>
      </c>
      <c r="L106">
        <v>3879</v>
      </c>
      <c r="M106">
        <v>3713</v>
      </c>
      <c r="N106">
        <v>873</v>
      </c>
      <c r="O106" s="153">
        <v>8289</v>
      </c>
      <c r="P106">
        <v>8047</v>
      </c>
      <c r="Q106">
        <v>4291</v>
      </c>
      <c r="R106">
        <v>8289</v>
      </c>
      <c r="S106">
        <v>0.533242202062881</v>
      </c>
      <c r="T106">
        <v>0</v>
      </c>
      <c r="U106">
        <v>1282</v>
      </c>
    </row>
    <row r="107" spans="2:21">
      <c r="B107" s="152"/>
      <c r="C107" s="151" t="s">
        <v>5</v>
      </c>
      <c r="D107">
        <v>1</v>
      </c>
      <c r="E107" s="153">
        <v>1</v>
      </c>
      <c r="F107">
        <v>4163</v>
      </c>
      <c r="G107">
        <v>4141</v>
      </c>
      <c r="H107">
        <v>3461</v>
      </c>
      <c r="I107">
        <v>1937</v>
      </c>
      <c r="J107">
        <v>1907</v>
      </c>
      <c r="K107">
        <v>777</v>
      </c>
      <c r="L107">
        <v>9678</v>
      </c>
      <c r="M107">
        <v>9378</v>
      </c>
      <c r="N107">
        <v>219</v>
      </c>
      <c r="O107" s="153">
        <v>15778</v>
      </c>
      <c r="P107">
        <v>15426</v>
      </c>
      <c r="Q107">
        <v>4457</v>
      </c>
      <c r="R107">
        <v>15778</v>
      </c>
      <c r="S107">
        <v>0.28892778426034</v>
      </c>
      <c r="T107">
        <v>0</v>
      </c>
      <c r="U107">
        <v>5643</v>
      </c>
    </row>
    <row r="108" spans="2:21">
      <c r="B108" s="152" t="s">
        <v>26</v>
      </c>
      <c r="C108" s="151" t="s">
        <v>1</v>
      </c>
      <c r="D108" t="s">
        <v>48</v>
      </c>
      <c r="E108" s="153" t="s">
        <v>48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s="153">
        <v>0</v>
      </c>
      <c r="P108">
        <v>0</v>
      </c>
      <c r="Q108">
        <v>0</v>
      </c>
      <c r="R108">
        <v>0</v>
      </c>
      <c r="S108" t="s">
        <v>48</v>
      </c>
      <c r="T108">
        <v>0</v>
      </c>
      <c r="U108">
        <v>0</v>
      </c>
    </row>
    <row r="109" spans="2:21">
      <c r="B109" s="152"/>
      <c r="C109" s="151" t="s">
        <v>2</v>
      </c>
      <c r="D109">
        <v>0.806451612903226</v>
      </c>
      <c r="E109" s="153">
        <v>0.819672131147541</v>
      </c>
      <c r="F109">
        <v>50</v>
      </c>
      <c r="G109">
        <v>50</v>
      </c>
      <c r="H109">
        <v>50</v>
      </c>
      <c r="I109">
        <v>1</v>
      </c>
      <c r="J109">
        <v>1</v>
      </c>
      <c r="K109">
        <v>1</v>
      </c>
      <c r="L109">
        <v>10</v>
      </c>
      <c r="M109">
        <v>10</v>
      </c>
      <c r="N109">
        <v>1</v>
      </c>
      <c r="O109" s="153">
        <v>61</v>
      </c>
      <c r="P109">
        <v>61</v>
      </c>
      <c r="Q109">
        <v>52</v>
      </c>
      <c r="R109">
        <v>50</v>
      </c>
      <c r="S109">
        <v>0.852459016393443</v>
      </c>
      <c r="T109">
        <v>11</v>
      </c>
      <c r="U109">
        <v>1</v>
      </c>
    </row>
    <row r="110" spans="2:21">
      <c r="B110" s="152"/>
      <c r="C110" s="151" t="s">
        <v>3</v>
      </c>
      <c r="D110">
        <v>0.810868407032499</v>
      </c>
      <c r="E110" s="153">
        <v>0.810005321979776</v>
      </c>
      <c r="F110">
        <v>1083</v>
      </c>
      <c r="G110">
        <v>1083</v>
      </c>
      <c r="H110">
        <v>1071</v>
      </c>
      <c r="I110">
        <v>439</v>
      </c>
      <c r="J110">
        <v>431</v>
      </c>
      <c r="K110">
        <v>4</v>
      </c>
      <c r="L110">
        <v>357</v>
      </c>
      <c r="M110">
        <v>349</v>
      </c>
      <c r="N110">
        <v>6</v>
      </c>
      <c r="O110" s="153">
        <v>1879</v>
      </c>
      <c r="P110">
        <v>1863</v>
      </c>
      <c r="Q110">
        <v>1081</v>
      </c>
      <c r="R110">
        <v>1522</v>
      </c>
      <c r="S110">
        <v>0.580246913580247</v>
      </c>
      <c r="T110">
        <v>357</v>
      </c>
      <c r="U110">
        <v>736</v>
      </c>
    </row>
    <row r="111" spans="2:21">
      <c r="B111" s="152"/>
      <c r="C111" s="151" t="s">
        <v>4</v>
      </c>
      <c r="D111">
        <v>1</v>
      </c>
      <c r="E111" s="153">
        <v>1</v>
      </c>
      <c r="F111">
        <v>2186</v>
      </c>
      <c r="G111">
        <v>2183</v>
      </c>
      <c r="H111">
        <v>2141</v>
      </c>
      <c r="I111">
        <v>252</v>
      </c>
      <c r="J111">
        <v>246</v>
      </c>
      <c r="K111">
        <v>15</v>
      </c>
      <c r="L111">
        <v>5711</v>
      </c>
      <c r="M111">
        <v>5508</v>
      </c>
      <c r="N111">
        <v>7</v>
      </c>
      <c r="O111" s="153">
        <v>8149</v>
      </c>
      <c r="P111">
        <v>7937</v>
      </c>
      <c r="Q111">
        <v>2163</v>
      </c>
      <c r="R111">
        <v>8149</v>
      </c>
      <c r="S111">
        <v>0.272521103691571</v>
      </c>
      <c r="T111">
        <v>0</v>
      </c>
      <c r="U111">
        <v>2293</v>
      </c>
    </row>
    <row r="112" spans="2:21">
      <c r="B112" s="152"/>
      <c r="C112" s="151" t="s">
        <v>5</v>
      </c>
      <c r="D112">
        <v>1</v>
      </c>
      <c r="E112" s="153">
        <v>1</v>
      </c>
      <c r="F112">
        <v>1166</v>
      </c>
      <c r="G112">
        <v>1164</v>
      </c>
      <c r="H112">
        <v>1028</v>
      </c>
      <c r="I112">
        <v>849</v>
      </c>
      <c r="J112">
        <v>825</v>
      </c>
      <c r="K112">
        <v>27</v>
      </c>
      <c r="L112">
        <v>12403</v>
      </c>
      <c r="M112">
        <v>11960</v>
      </c>
      <c r="N112">
        <v>7</v>
      </c>
      <c r="O112" s="153">
        <v>14418</v>
      </c>
      <c r="P112">
        <v>13949</v>
      </c>
      <c r="Q112">
        <v>1062</v>
      </c>
      <c r="R112">
        <v>14418</v>
      </c>
      <c r="S112">
        <v>0.0761344899275934</v>
      </c>
      <c r="T112">
        <v>0</v>
      </c>
      <c r="U112">
        <v>7867</v>
      </c>
    </row>
    <row r="113" spans="2:21">
      <c r="B113" s="152" t="s">
        <v>27</v>
      </c>
      <c r="C113" s="151" t="s">
        <v>1</v>
      </c>
      <c r="D113" t="s">
        <v>48</v>
      </c>
      <c r="E113" s="153" t="s">
        <v>48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s="153">
        <v>0</v>
      </c>
      <c r="P113">
        <v>0</v>
      </c>
      <c r="Q113">
        <v>0</v>
      </c>
      <c r="R113">
        <v>0</v>
      </c>
      <c r="S113" t="s">
        <v>48</v>
      </c>
      <c r="T113">
        <v>0</v>
      </c>
      <c r="U113">
        <v>0</v>
      </c>
    </row>
    <row r="114" spans="2:21">
      <c r="B114" s="152"/>
      <c r="C114" s="151" t="s">
        <v>2</v>
      </c>
      <c r="D114">
        <v>1</v>
      </c>
      <c r="E114" s="153">
        <v>0.75</v>
      </c>
      <c r="F114">
        <v>18</v>
      </c>
      <c r="G114">
        <v>18</v>
      </c>
      <c r="H114">
        <v>18</v>
      </c>
      <c r="I114">
        <v>5</v>
      </c>
      <c r="J114">
        <v>5</v>
      </c>
      <c r="K114">
        <v>5</v>
      </c>
      <c r="L114">
        <v>1</v>
      </c>
      <c r="M114">
        <v>1</v>
      </c>
      <c r="N114">
        <v>1</v>
      </c>
      <c r="O114" s="153">
        <v>24</v>
      </c>
      <c r="P114">
        <v>24</v>
      </c>
      <c r="Q114">
        <v>24</v>
      </c>
      <c r="R114">
        <v>18</v>
      </c>
      <c r="S114">
        <v>1</v>
      </c>
      <c r="T114">
        <v>6</v>
      </c>
      <c r="U114">
        <v>1</v>
      </c>
    </row>
    <row r="115" spans="2:21">
      <c r="B115" s="152"/>
      <c r="C115" s="151" t="s">
        <v>3</v>
      </c>
      <c r="D115">
        <v>0.916793893129771</v>
      </c>
      <c r="E115" s="153">
        <v>0.902364607170099</v>
      </c>
      <c r="F115">
        <v>660</v>
      </c>
      <c r="G115">
        <v>659</v>
      </c>
      <c r="H115">
        <v>593</v>
      </c>
      <c r="I115">
        <v>523</v>
      </c>
      <c r="J115">
        <v>522</v>
      </c>
      <c r="K115">
        <v>447</v>
      </c>
      <c r="L115">
        <v>128</v>
      </c>
      <c r="M115">
        <v>126</v>
      </c>
      <c r="N115">
        <v>27</v>
      </c>
      <c r="O115" s="153">
        <v>1311</v>
      </c>
      <c r="P115">
        <v>1307</v>
      </c>
      <c r="Q115">
        <v>1067</v>
      </c>
      <c r="R115">
        <v>1183</v>
      </c>
      <c r="S115">
        <v>0.81637337413925</v>
      </c>
      <c r="T115">
        <v>128</v>
      </c>
      <c r="U115">
        <v>422</v>
      </c>
    </row>
    <row r="116" spans="2:21">
      <c r="B116" s="152"/>
      <c r="C116" s="151" t="s">
        <v>4</v>
      </c>
      <c r="D116">
        <v>1</v>
      </c>
      <c r="E116" s="153">
        <v>1</v>
      </c>
      <c r="F116">
        <v>1276</v>
      </c>
      <c r="G116">
        <v>1270</v>
      </c>
      <c r="H116">
        <v>1080</v>
      </c>
      <c r="I116">
        <v>1595</v>
      </c>
      <c r="J116">
        <v>1579</v>
      </c>
      <c r="K116">
        <v>1301</v>
      </c>
      <c r="L116">
        <v>916</v>
      </c>
      <c r="M116">
        <v>896</v>
      </c>
      <c r="N116">
        <v>154</v>
      </c>
      <c r="O116" s="153">
        <v>3787</v>
      </c>
      <c r="P116">
        <v>3745</v>
      </c>
      <c r="Q116">
        <v>2535</v>
      </c>
      <c r="R116">
        <v>3787</v>
      </c>
      <c r="S116">
        <v>0.676902536715621</v>
      </c>
      <c r="T116">
        <v>0</v>
      </c>
      <c r="U116">
        <v>918</v>
      </c>
    </row>
    <row r="117" spans="2:21">
      <c r="B117" s="152"/>
      <c r="C117" s="151" t="s">
        <v>5</v>
      </c>
      <c r="D117">
        <v>1</v>
      </c>
      <c r="E117" s="153">
        <v>1</v>
      </c>
      <c r="F117">
        <v>1277</v>
      </c>
      <c r="G117">
        <v>1260</v>
      </c>
      <c r="H117">
        <v>732</v>
      </c>
      <c r="I117">
        <v>5271</v>
      </c>
      <c r="J117">
        <v>5169</v>
      </c>
      <c r="K117">
        <v>3617</v>
      </c>
      <c r="L117">
        <v>2947</v>
      </c>
      <c r="M117">
        <v>2858</v>
      </c>
      <c r="N117">
        <v>150</v>
      </c>
      <c r="O117" s="153">
        <v>9495</v>
      </c>
      <c r="P117">
        <v>9287</v>
      </c>
      <c r="Q117">
        <v>4499</v>
      </c>
      <c r="R117">
        <v>9495</v>
      </c>
      <c r="S117">
        <v>0.484440615914719</v>
      </c>
      <c r="T117">
        <v>0</v>
      </c>
      <c r="U117">
        <v>3451</v>
      </c>
    </row>
    <row r="118" spans="2:21">
      <c r="B118" s="152" t="s">
        <v>28</v>
      </c>
      <c r="C118" s="151" t="s">
        <v>1</v>
      </c>
      <c r="D118" t="s">
        <v>48</v>
      </c>
      <c r="E118" s="153" t="s">
        <v>48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s="153">
        <v>0</v>
      </c>
      <c r="P118">
        <v>0</v>
      </c>
      <c r="Q118">
        <v>0</v>
      </c>
      <c r="R118">
        <v>0</v>
      </c>
      <c r="S118" t="s">
        <v>48</v>
      </c>
      <c r="T118">
        <v>0</v>
      </c>
      <c r="U118">
        <v>0</v>
      </c>
    </row>
    <row r="119" spans="2:21">
      <c r="B119" s="152"/>
      <c r="C119" s="151" t="s">
        <v>2</v>
      </c>
      <c r="D119">
        <v>0.921052631578947</v>
      </c>
      <c r="E119" s="153">
        <v>0.921052631578947</v>
      </c>
      <c r="F119">
        <v>35</v>
      </c>
      <c r="G119">
        <v>35</v>
      </c>
      <c r="H119">
        <v>35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 s="153">
        <v>38</v>
      </c>
      <c r="P119">
        <v>38</v>
      </c>
      <c r="Q119">
        <v>38</v>
      </c>
      <c r="R119">
        <v>35</v>
      </c>
      <c r="S119">
        <v>1</v>
      </c>
      <c r="T119">
        <v>3</v>
      </c>
      <c r="U119">
        <v>0</v>
      </c>
    </row>
    <row r="120" spans="2:21">
      <c r="B120" s="152"/>
      <c r="C120" s="151" t="s">
        <v>3</v>
      </c>
      <c r="D120">
        <v>0.951417004048583</v>
      </c>
      <c r="E120" s="153">
        <v>0.951466127401416</v>
      </c>
      <c r="F120">
        <v>599</v>
      </c>
      <c r="G120">
        <v>599</v>
      </c>
      <c r="H120">
        <v>598</v>
      </c>
      <c r="I120">
        <v>342</v>
      </c>
      <c r="J120">
        <v>342</v>
      </c>
      <c r="K120">
        <v>233</v>
      </c>
      <c r="L120">
        <v>48</v>
      </c>
      <c r="M120">
        <v>48</v>
      </c>
      <c r="N120">
        <v>23</v>
      </c>
      <c r="O120" s="153">
        <v>989</v>
      </c>
      <c r="P120">
        <v>989</v>
      </c>
      <c r="Q120">
        <v>854</v>
      </c>
      <c r="R120">
        <v>941</v>
      </c>
      <c r="S120">
        <v>0.863498483316481</v>
      </c>
      <c r="T120">
        <v>48</v>
      </c>
      <c r="U120">
        <v>447</v>
      </c>
    </row>
    <row r="121" spans="2:21">
      <c r="B121" s="152"/>
      <c r="C121" s="151" t="s">
        <v>4</v>
      </c>
      <c r="D121">
        <v>1</v>
      </c>
      <c r="E121" s="153">
        <v>1</v>
      </c>
      <c r="F121">
        <v>1130</v>
      </c>
      <c r="G121">
        <v>1129</v>
      </c>
      <c r="H121">
        <v>1112</v>
      </c>
      <c r="I121">
        <v>71</v>
      </c>
      <c r="J121">
        <v>69</v>
      </c>
      <c r="K121">
        <v>4</v>
      </c>
      <c r="L121">
        <v>2132</v>
      </c>
      <c r="M121">
        <v>2087</v>
      </c>
      <c r="N121">
        <v>62</v>
      </c>
      <c r="O121" s="153">
        <v>3333</v>
      </c>
      <c r="P121">
        <v>3285</v>
      </c>
      <c r="Q121">
        <v>1178</v>
      </c>
      <c r="R121">
        <v>3333</v>
      </c>
      <c r="S121">
        <v>0.358599695585997</v>
      </c>
      <c r="T121">
        <v>0</v>
      </c>
      <c r="U121">
        <v>1178</v>
      </c>
    </row>
    <row r="122" spans="2:21">
      <c r="B122" s="152"/>
      <c r="C122" s="151" t="s">
        <v>5</v>
      </c>
      <c r="D122">
        <v>1</v>
      </c>
      <c r="E122" s="153">
        <v>1</v>
      </c>
      <c r="F122">
        <v>612</v>
      </c>
      <c r="G122">
        <v>610</v>
      </c>
      <c r="H122">
        <v>496</v>
      </c>
      <c r="I122">
        <v>236</v>
      </c>
      <c r="J122">
        <v>229</v>
      </c>
      <c r="K122">
        <v>6</v>
      </c>
      <c r="L122">
        <v>6643</v>
      </c>
      <c r="M122">
        <v>6457</v>
      </c>
      <c r="N122">
        <v>114</v>
      </c>
      <c r="O122" s="153">
        <v>7491</v>
      </c>
      <c r="P122">
        <v>7296</v>
      </c>
      <c r="Q122">
        <v>616</v>
      </c>
      <c r="R122">
        <v>7491</v>
      </c>
      <c r="S122">
        <v>0.0844298245614035</v>
      </c>
      <c r="T122">
        <v>0</v>
      </c>
      <c r="U122">
        <v>5201</v>
      </c>
    </row>
    <row r="123" spans="2:21">
      <c r="B123" s="152" t="s">
        <v>29</v>
      </c>
      <c r="C123" s="151" t="s">
        <v>1</v>
      </c>
      <c r="D123" t="s">
        <v>48</v>
      </c>
      <c r="E123" s="153" t="s">
        <v>48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s="153">
        <v>0</v>
      </c>
      <c r="P123">
        <v>0</v>
      </c>
      <c r="Q123">
        <v>0</v>
      </c>
      <c r="R123">
        <v>0</v>
      </c>
      <c r="S123" t="s">
        <v>48</v>
      </c>
      <c r="T123">
        <v>0</v>
      </c>
      <c r="U123">
        <v>0</v>
      </c>
    </row>
    <row r="124" spans="2:21">
      <c r="B124" s="152"/>
      <c r="C124" s="151" t="s">
        <v>2</v>
      </c>
      <c r="D124">
        <v>1</v>
      </c>
      <c r="E124" s="153">
        <v>1</v>
      </c>
      <c r="F124">
        <v>85</v>
      </c>
      <c r="G124">
        <v>85</v>
      </c>
      <c r="H124">
        <v>85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s="153">
        <v>85</v>
      </c>
      <c r="P124">
        <v>85</v>
      </c>
      <c r="Q124">
        <v>85</v>
      </c>
      <c r="R124">
        <v>85</v>
      </c>
      <c r="S124">
        <v>1</v>
      </c>
      <c r="T124">
        <v>0</v>
      </c>
      <c r="U124">
        <v>0</v>
      </c>
    </row>
    <row r="125" spans="2:21">
      <c r="B125" s="152"/>
      <c r="C125" s="151" t="s">
        <v>3</v>
      </c>
      <c r="D125">
        <v>0.995489400090212</v>
      </c>
      <c r="E125" s="153">
        <v>0.995042812077512</v>
      </c>
      <c r="F125">
        <v>942</v>
      </c>
      <c r="G125">
        <v>941</v>
      </c>
      <c r="H125">
        <v>937</v>
      </c>
      <c r="I125">
        <v>1266</v>
      </c>
      <c r="J125">
        <v>1258</v>
      </c>
      <c r="K125">
        <v>1249</v>
      </c>
      <c r="L125">
        <v>11</v>
      </c>
      <c r="M125">
        <v>10</v>
      </c>
      <c r="N125">
        <v>1</v>
      </c>
      <c r="O125" s="153">
        <v>2219</v>
      </c>
      <c r="P125">
        <v>2209</v>
      </c>
      <c r="Q125">
        <v>2187</v>
      </c>
      <c r="R125">
        <v>2208</v>
      </c>
      <c r="S125">
        <v>0.990040742417383</v>
      </c>
      <c r="T125">
        <v>11</v>
      </c>
      <c r="U125">
        <v>679</v>
      </c>
    </row>
    <row r="126" spans="2:21">
      <c r="B126" s="152"/>
      <c r="C126" s="151" t="s">
        <v>4</v>
      </c>
      <c r="D126">
        <v>1</v>
      </c>
      <c r="E126" s="153">
        <v>1</v>
      </c>
      <c r="F126">
        <v>1240</v>
      </c>
      <c r="G126">
        <v>1237</v>
      </c>
      <c r="H126">
        <v>1178</v>
      </c>
      <c r="I126">
        <v>1533</v>
      </c>
      <c r="J126">
        <v>1528</v>
      </c>
      <c r="K126">
        <v>377</v>
      </c>
      <c r="L126">
        <v>3312</v>
      </c>
      <c r="M126">
        <v>3224</v>
      </c>
      <c r="N126">
        <v>455</v>
      </c>
      <c r="O126" s="153">
        <v>6085</v>
      </c>
      <c r="P126">
        <v>5989</v>
      </c>
      <c r="Q126">
        <v>2010</v>
      </c>
      <c r="R126">
        <v>6085</v>
      </c>
      <c r="S126">
        <v>0.335615294706963</v>
      </c>
      <c r="T126">
        <v>0</v>
      </c>
      <c r="U126">
        <v>1893</v>
      </c>
    </row>
    <row r="127" spans="2:21">
      <c r="B127" s="152"/>
      <c r="C127" s="151" t="s">
        <v>5</v>
      </c>
      <c r="D127">
        <v>1</v>
      </c>
      <c r="E127" s="153">
        <v>1</v>
      </c>
      <c r="F127">
        <v>617</v>
      </c>
      <c r="G127">
        <v>612</v>
      </c>
      <c r="H127">
        <v>433</v>
      </c>
      <c r="I127">
        <v>3068</v>
      </c>
      <c r="J127">
        <v>3040</v>
      </c>
      <c r="K127">
        <v>358</v>
      </c>
      <c r="L127">
        <v>11881</v>
      </c>
      <c r="M127">
        <v>11557</v>
      </c>
      <c r="N127">
        <v>575</v>
      </c>
      <c r="O127" s="153">
        <v>15566</v>
      </c>
      <c r="P127">
        <v>15209</v>
      </c>
      <c r="Q127">
        <v>1366</v>
      </c>
      <c r="R127">
        <v>15566</v>
      </c>
      <c r="S127">
        <v>0.0898152409757381</v>
      </c>
      <c r="T127">
        <v>0</v>
      </c>
      <c r="U127">
        <v>9529</v>
      </c>
    </row>
    <row r="128" spans="2:21">
      <c r="B128" s="152" t="s">
        <v>30</v>
      </c>
      <c r="C128" s="151" t="s">
        <v>1</v>
      </c>
      <c r="D128" t="s">
        <v>48</v>
      </c>
      <c r="E128" s="153" t="s">
        <v>48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s="153">
        <v>0</v>
      </c>
      <c r="P128">
        <v>0</v>
      </c>
      <c r="Q128">
        <v>0</v>
      </c>
      <c r="R128">
        <v>0</v>
      </c>
      <c r="S128" t="s">
        <v>48</v>
      </c>
      <c r="T128">
        <v>0</v>
      </c>
      <c r="U128">
        <v>0</v>
      </c>
    </row>
    <row r="129" spans="2:21">
      <c r="B129" s="152"/>
      <c r="C129" s="151" t="s">
        <v>2</v>
      </c>
      <c r="D129">
        <v>0.963963963963964</v>
      </c>
      <c r="E129" s="153">
        <v>0.964285714285714</v>
      </c>
      <c r="F129">
        <v>108</v>
      </c>
      <c r="G129">
        <v>108</v>
      </c>
      <c r="H129">
        <v>107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1</v>
      </c>
      <c r="O129" s="153">
        <v>112</v>
      </c>
      <c r="P129">
        <v>112</v>
      </c>
      <c r="Q129">
        <v>110</v>
      </c>
      <c r="R129">
        <v>108</v>
      </c>
      <c r="S129">
        <v>0.982142857142857</v>
      </c>
      <c r="T129">
        <v>4</v>
      </c>
      <c r="U129">
        <v>2</v>
      </c>
    </row>
    <row r="130" spans="2:21">
      <c r="B130" s="152"/>
      <c r="C130" s="151" t="s">
        <v>3</v>
      </c>
      <c r="D130">
        <v>0.931808183018038</v>
      </c>
      <c r="E130" s="153">
        <v>0.931957857769974</v>
      </c>
      <c r="F130">
        <v>1517</v>
      </c>
      <c r="G130">
        <v>1517</v>
      </c>
      <c r="H130">
        <v>1490</v>
      </c>
      <c r="I130">
        <v>606</v>
      </c>
      <c r="J130">
        <v>603</v>
      </c>
      <c r="K130">
        <v>372</v>
      </c>
      <c r="L130">
        <v>155</v>
      </c>
      <c r="M130">
        <v>153</v>
      </c>
      <c r="N130">
        <v>19</v>
      </c>
      <c r="O130" s="153">
        <v>2278</v>
      </c>
      <c r="P130">
        <v>2273</v>
      </c>
      <c r="Q130">
        <v>1881</v>
      </c>
      <c r="R130">
        <v>2123</v>
      </c>
      <c r="S130">
        <v>0.827540695116586</v>
      </c>
      <c r="T130">
        <v>155</v>
      </c>
      <c r="U130">
        <v>655</v>
      </c>
    </row>
    <row r="131" spans="2:21">
      <c r="B131" s="152"/>
      <c r="C131" s="151" t="s">
        <v>4</v>
      </c>
      <c r="D131">
        <v>1</v>
      </c>
      <c r="E131" s="153">
        <v>1</v>
      </c>
      <c r="F131">
        <v>2841</v>
      </c>
      <c r="G131">
        <v>2838</v>
      </c>
      <c r="H131">
        <v>2756</v>
      </c>
      <c r="I131">
        <v>1536</v>
      </c>
      <c r="J131">
        <v>1460</v>
      </c>
      <c r="K131">
        <v>189</v>
      </c>
      <c r="L131">
        <v>1744</v>
      </c>
      <c r="M131">
        <v>1644</v>
      </c>
      <c r="N131">
        <v>20</v>
      </c>
      <c r="O131" s="153">
        <v>6121</v>
      </c>
      <c r="P131">
        <v>5942</v>
      </c>
      <c r="Q131">
        <v>2965</v>
      </c>
      <c r="R131">
        <v>6121</v>
      </c>
      <c r="S131">
        <v>0.498990238976776</v>
      </c>
      <c r="T131">
        <v>0</v>
      </c>
      <c r="U131">
        <v>1944</v>
      </c>
    </row>
    <row r="132" spans="2:21">
      <c r="B132" s="152"/>
      <c r="C132" s="151" t="s">
        <v>5</v>
      </c>
      <c r="D132">
        <v>1</v>
      </c>
      <c r="E132" s="153">
        <v>1</v>
      </c>
      <c r="F132">
        <v>1931</v>
      </c>
      <c r="G132">
        <v>1921</v>
      </c>
      <c r="H132">
        <v>1663</v>
      </c>
      <c r="I132">
        <v>5054</v>
      </c>
      <c r="J132">
        <v>4746</v>
      </c>
      <c r="K132">
        <v>338</v>
      </c>
      <c r="L132">
        <v>6198</v>
      </c>
      <c r="M132">
        <v>5665</v>
      </c>
      <c r="N132">
        <v>27</v>
      </c>
      <c r="O132" s="153">
        <v>13183</v>
      </c>
      <c r="P132">
        <v>12332</v>
      </c>
      <c r="Q132">
        <v>2028</v>
      </c>
      <c r="R132">
        <v>13183</v>
      </c>
      <c r="S132">
        <v>0.164450210833604</v>
      </c>
      <c r="T132">
        <v>0</v>
      </c>
      <c r="U132">
        <v>9975</v>
      </c>
    </row>
    <row r="133" spans="2:21">
      <c r="B133" s="152" t="s">
        <v>31</v>
      </c>
      <c r="C133" s="151" t="s">
        <v>1</v>
      </c>
      <c r="D133" t="s">
        <v>48</v>
      </c>
      <c r="E133" s="153" t="s">
        <v>48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s="153">
        <v>0</v>
      </c>
      <c r="P133">
        <v>0</v>
      </c>
      <c r="Q133">
        <v>0</v>
      </c>
      <c r="R133">
        <v>0</v>
      </c>
      <c r="S133" t="s">
        <v>48</v>
      </c>
      <c r="T133">
        <v>0</v>
      </c>
      <c r="U133">
        <v>0</v>
      </c>
    </row>
    <row r="134" spans="2:21">
      <c r="B134" s="152"/>
      <c r="C134" s="151" t="s">
        <v>2</v>
      </c>
      <c r="D134">
        <v>1</v>
      </c>
      <c r="E134" s="153">
        <v>1</v>
      </c>
      <c r="F134">
        <v>37</v>
      </c>
      <c r="G134">
        <v>37</v>
      </c>
      <c r="H134">
        <v>37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s="153">
        <v>37</v>
      </c>
      <c r="P134">
        <v>37</v>
      </c>
      <c r="Q134">
        <v>37</v>
      </c>
      <c r="R134">
        <v>37</v>
      </c>
      <c r="S134">
        <v>1</v>
      </c>
      <c r="T134">
        <v>0</v>
      </c>
      <c r="U134">
        <v>1</v>
      </c>
    </row>
    <row r="135" spans="2:21">
      <c r="B135" s="152"/>
      <c r="C135" s="151" t="s">
        <v>3</v>
      </c>
      <c r="D135">
        <v>0.993846153846154</v>
      </c>
      <c r="E135" s="153">
        <v>0.993849938499385</v>
      </c>
      <c r="F135">
        <v>1078</v>
      </c>
      <c r="G135">
        <v>1078</v>
      </c>
      <c r="H135">
        <v>1077</v>
      </c>
      <c r="I135">
        <v>538</v>
      </c>
      <c r="J135">
        <v>531</v>
      </c>
      <c r="K135">
        <v>506</v>
      </c>
      <c r="L135">
        <v>10</v>
      </c>
      <c r="M135">
        <v>9</v>
      </c>
      <c r="N135">
        <v>0</v>
      </c>
      <c r="O135" s="153">
        <v>1626</v>
      </c>
      <c r="P135">
        <v>1618</v>
      </c>
      <c r="Q135">
        <v>1583</v>
      </c>
      <c r="R135">
        <v>1616</v>
      </c>
      <c r="S135">
        <v>0.978368355995056</v>
      </c>
      <c r="T135">
        <v>10</v>
      </c>
      <c r="U135">
        <v>443</v>
      </c>
    </row>
    <row r="136" spans="2:21">
      <c r="B136" s="152"/>
      <c r="C136" s="151" t="s">
        <v>4</v>
      </c>
      <c r="D136">
        <v>1</v>
      </c>
      <c r="E136" s="153">
        <v>1</v>
      </c>
      <c r="F136">
        <v>1405</v>
      </c>
      <c r="G136">
        <v>1402</v>
      </c>
      <c r="H136">
        <v>1396</v>
      </c>
      <c r="I136">
        <v>131</v>
      </c>
      <c r="J136">
        <v>127</v>
      </c>
      <c r="K136">
        <v>15</v>
      </c>
      <c r="L136">
        <v>3805</v>
      </c>
      <c r="M136">
        <v>3698</v>
      </c>
      <c r="N136">
        <v>469</v>
      </c>
      <c r="O136" s="153">
        <v>5341</v>
      </c>
      <c r="P136">
        <v>5227</v>
      </c>
      <c r="Q136">
        <v>1880</v>
      </c>
      <c r="R136">
        <v>5341</v>
      </c>
      <c r="S136">
        <v>0.359670939353358</v>
      </c>
      <c r="T136">
        <v>0</v>
      </c>
      <c r="U136">
        <v>1401</v>
      </c>
    </row>
    <row r="137" spans="2:21">
      <c r="B137" s="152"/>
      <c r="C137" s="151" t="s">
        <v>5</v>
      </c>
      <c r="D137">
        <v>1</v>
      </c>
      <c r="E137" s="153">
        <v>1</v>
      </c>
      <c r="F137">
        <v>250</v>
      </c>
      <c r="G137">
        <v>248</v>
      </c>
      <c r="H137">
        <v>239</v>
      </c>
      <c r="I137">
        <v>264</v>
      </c>
      <c r="J137">
        <v>251</v>
      </c>
      <c r="K137">
        <v>5</v>
      </c>
      <c r="L137">
        <v>15504</v>
      </c>
      <c r="M137">
        <v>14756</v>
      </c>
      <c r="N137">
        <v>175</v>
      </c>
      <c r="O137" s="153">
        <v>16018</v>
      </c>
      <c r="P137">
        <v>15255</v>
      </c>
      <c r="Q137">
        <v>419</v>
      </c>
      <c r="R137">
        <v>16018</v>
      </c>
      <c r="S137">
        <v>0.0274664044575549</v>
      </c>
      <c r="T137">
        <v>0</v>
      </c>
      <c r="U137">
        <v>8060</v>
      </c>
    </row>
    <row r="138" spans="2:21">
      <c r="B138" s="152" t="s">
        <v>32</v>
      </c>
      <c r="C138" s="151" t="s">
        <v>1</v>
      </c>
      <c r="D138" t="s">
        <v>48</v>
      </c>
      <c r="E138" s="153" t="s">
        <v>48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s="153">
        <v>0</v>
      </c>
      <c r="P138">
        <v>0</v>
      </c>
      <c r="Q138">
        <v>0</v>
      </c>
      <c r="R138">
        <v>0</v>
      </c>
      <c r="S138" t="s">
        <v>48</v>
      </c>
      <c r="T138">
        <v>0</v>
      </c>
      <c r="U138">
        <v>0</v>
      </c>
    </row>
    <row r="139" spans="2:21">
      <c r="B139" s="152"/>
      <c r="C139" s="151" t="s">
        <v>2</v>
      </c>
      <c r="D139">
        <v>0.971428571428571</v>
      </c>
      <c r="E139" s="153">
        <v>1</v>
      </c>
      <c r="F139">
        <v>70</v>
      </c>
      <c r="G139">
        <v>70</v>
      </c>
      <c r="H139">
        <v>70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s="153">
        <v>70</v>
      </c>
      <c r="P139">
        <v>70</v>
      </c>
      <c r="Q139">
        <v>70</v>
      </c>
      <c r="R139">
        <v>70</v>
      </c>
      <c r="S139">
        <v>1</v>
      </c>
      <c r="T139">
        <v>0</v>
      </c>
      <c r="U139">
        <v>1</v>
      </c>
    </row>
    <row r="140" spans="2:21">
      <c r="B140" s="152"/>
      <c r="C140" s="151" t="s">
        <v>3</v>
      </c>
      <c r="D140">
        <v>0.985744832501782</v>
      </c>
      <c r="E140" s="153">
        <v>0.985032074126871</v>
      </c>
      <c r="F140">
        <v>1045</v>
      </c>
      <c r="G140">
        <v>1035</v>
      </c>
      <c r="H140">
        <v>1009</v>
      </c>
      <c r="I140">
        <v>337</v>
      </c>
      <c r="J140">
        <v>329</v>
      </c>
      <c r="K140">
        <v>136</v>
      </c>
      <c r="L140">
        <v>21</v>
      </c>
      <c r="M140">
        <v>20</v>
      </c>
      <c r="N140">
        <v>12</v>
      </c>
      <c r="O140" s="153">
        <v>1403</v>
      </c>
      <c r="P140">
        <v>1384</v>
      </c>
      <c r="Q140">
        <v>1157</v>
      </c>
      <c r="R140">
        <v>1382</v>
      </c>
      <c r="S140">
        <v>0.835982658959538</v>
      </c>
      <c r="T140">
        <v>21</v>
      </c>
      <c r="U140">
        <v>551</v>
      </c>
    </row>
    <row r="141" spans="2:21">
      <c r="B141" s="152"/>
      <c r="C141" s="151" t="s">
        <v>4</v>
      </c>
      <c r="D141">
        <v>1</v>
      </c>
      <c r="E141" s="153">
        <v>1</v>
      </c>
      <c r="F141">
        <v>2901</v>
      </c>
      <c r="G141">
        <v>2855</v>
      </c>
      <c r="H141">
        <v>2627</v>
      </c>
      <c r="I141">
        <v>2235</v>
      </c>
      <c r="J141">
        <v>2184</v>
      </c>
      <c r="K141">
        <v>66</v>
      </c>
      <c r="L141">
        <v>1284</v>
      </c>
      <c r="M141">
        <v>1238</v>
      </c>
      <c r="N141">
        <v>110</v>
      </c>
      <c r="O141" s="153">
        <v>6420</v>
      </c>
      <c r="P141">
        <v>6277</v>
      </c>
      <c r="Q141">
        <v>2803</v>
      </c>
      <c r="R141">
        <v>6420</v>
      </c>
      <c r="S141">
        <v>0.446550900111518</v>
      </c>
      <c r="T141">
        <v>0</v>
      </c>
      <c r="U141">
        <v>1529</v>
      </c>
    </row>
    <row r="142" spans="2:21">
      <c r="B142" s="152"/>
      <c r="C142" s="151" t="s">
        <v>5</v>
      </c>
      <c r="D142">
        <v>1</v>
      </c>
      <c r="E142" s="153">
        <v>1</v>
      </c>
      <c r="F142">
        <v>1394</v>
      </c>
      <c r="G142">
        <v>1286</v>
      </c>
      <c r="H142">
        <v>999</v>
      </c>
      <c r="I142">
        <v>4922</v>
      </c>
      <c r="J142">
        <v>4739</v>
      </c>
      <c r="K142">
        <v>39</v>
      </c>
      <c r="L142">
        <v>3686</v>
      </c>
      <c r="M142">
        <v>3435</v>
      </c>
      <c r="N142">
        <v>29</v>
      </c>
      <c r="O142" s="153">
        <v>10002</v>
      </c>
      <c r="P142">
        <v>9460</v>
      </c>
      <c r="Q142">
        <v>1067</v>
      </c>
      <c r="R142">
        <v>10002</v>
      </c>
      <c r="S142">
        <v>0.112790697674419</v>
      </c>
      <c r="T142">
        <v>0</v>
      </c>
      <c r="U142">
        <v>5566</v>
      </c>
    </row>
    <row r="143" spans="2:21">
      <c r="B143" s="152" t="s">
        <v>33</v>
      </c>
      <c r="C143" s="151" t="s">
        <v>1</v>
      </c>
      <c r="D143" t="s">
        <v>48</v>
      </c>
      <c r="E143" s="153" t="s">
        <v>48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s="153">
        <v>0</v>
      </c>
      <c r="P143">
        <v>0</v>
      </c>
      <c r="Q143">
        <v>0</v>
      </c>
      <c r="R143">
        <v>0</v>
      </c>
      <c r="S143" t="s">
        <v>48</v>
      </c>
      <c r="T143">
        <v>0</v>
      </c>
      <c r="U143">
        <v>0</v>
      </c>
    </row>
    <row r="144" spans="2:21">
      <c r="B144" s="152"/>
      <c r="C144" s="151" t="s">
        <v>2</v>
      </c>
      <c r="D144">
        <v>1</v>
      </c>
      <c r="E144" s="153">
        <v>1</v>
      </c>
      <c r="F144">
        <v>33</v>
      </c>
      <c r="G144">
        <v>33</v>
      </c>
      <c r="H144">
        <v>33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s="153">
        <v>33</v>
      </c>
      <c r="P144">
        <v>33</v>
      </c>
      <c r="Q144">
        <v>33</v>
      </c>
      <c r="R144">
        <v>33</v>
      </c>
      <c r="S144">
        <v>1</v>
      </c>
      <c r="T144">
        <v>0</v>
      </c>
      <c r="U144">
        <v>1</v>
      </c>
    </row>
    <row r="145" spans="2:21">
      <c r="B145" s="152"/>
      <c r="C145" s="151" t="s">
        <v>3</v>
      </c>
      <c r="D145">
        <v>0.988774555659495</v>
      </c>
      <c r="E145" s="153">
        <v>0.98785046728972</v>
      </c>
      <c r="F145">
        <v>195</v>
      </c>
      <c r="G145">
        <v>194</v>
      </c>
      <c r="H145">
        <v>194</v>
      </c>
      <c r="I145">
        <v>862</v>
      </c>
      <c r="J145">
        <v>857</v>
      </c>
      <c r="K145">
        <v>853</v>
      </c>
      <c r="L145">
        <v>13</v>
      </c>
      <c r="M145">
        <v>11</v>
      </c>
      <c r="N145">
        <v>7</v>
      </c>
      <c r="O145" s="153">
        <v>1070</v>
      </c>
      <c r="P145">
        <v>1062</v>
      </c>
      <c r="Q145">
        <v>1054</v>
      </c>
      <c r="R145">
        <v>1057</v>
      </c>
      <c r="S145">
        <v>0.992467043314501</v>
      </c>
      <c r="T145">
        <v>13</v>
      </c>
      <c r="U145">
        <v>495</v>
      </c>
    </row>
    <row r="146" spans="2:21">
      <c r="B146" s="152"/>
      <c r="C146" s="151" t="s">
        <v>4</v>
      </c>
      <c r="D146">
        <v>1</v>
      </c>
      <c r="E146" s="153">
        <v>1</v>
      </c>
      <c r="F146">
        <v>904</v>
      </c>
      <c r="G146">
        <v>904</v>
      </c>
      <c r="H146">
        <v>903</v>
      </c>
      <c r="I146">
        <v>869</v>
      </c>
      <c r="J146">
        <v>868</v>
      </c>
      <c r="K146">
        <v>864</v>
      </c>
      <c r="L146">
        <v>2578</v>
      </c>
      <c r="M146">
        <v>2568</v>
      </c>
      <c r="N146">
        <v>2557</v>
      </c>
      <c r="O146" s="153">
        <v>4351</v>
      </c>
      <c r="P146">
        <v>4340</v>
      </c>
      <c r="Q146">
        <v>4324</v>
      </c>
      <c r="R146">
        <v>4351</v>
      </c>
      <c r="S146">
        <v>0.9963133640553</v>
      </c>
      <c r="T146">
        <v>0</v>
      </c>
      <c r="U146">
        <v>1375</v>
      </c>
    </row>
    <row r="147" spans="2:21">
      <c r="B147" s="152"/>
      <c r="C147" s="151" t="s">
        <v>5</v>
      </c>
      <c r="D147">
        <v>1</v>
      </c>
      <c r="E147" s="153">
        <v>1</v>
      </c>
      <c r="F147">
        <v>199</v>
      </c>
      <c r="G147">
        <v>198</v>
      </c>
      <c r="H147">
        <v>192</v>
      </c>
      <c r="I147">
        <v>1521</v>
      </c>
      <c r="J147">
        <v>1515</v>
      </c>
      <c r="K147">
        <v>1431</v>
      </c>
      <c r="L147">
        <v>7697</v>
      </c>
      <c r="M147">
        <v>7571</v>
      </c>
      <c r="N147">
        <v>7415</v>
      </c>
      <c r="O147" s="153">
        <v>9417</v>
      </c>
      <c r="P147">
        <v>9284</v>
      </c>
      <c r="Q147">
        <v>9038</v>
      </c>
      <c r="R147">
        <v>9417</v>
      </c>
      <c r="S147">
        <v>0.973502800517019</v>
      </c>
      <c r="T147">
        <v>0</v>
      </c>
      <c r="U147">
        <v>5365</v>
      </c>
    </row>
    <row r="148" spans="2:21">
      <c r="B148" s="152" t="s">
        <v>49</v>
      </c>
      <c r="C148" s="151" t="s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</row>
    <row r="149" spans="2:21">
      <c r="B149" s="152"/>
      <c r="C149" s="151" t="s">
        <v>2</v>
      </c>
      <c r="D149">
        <v>1</v>
      </c>
      <c r="E149">
        <v>1</v>
      </c>
      <c r="F149">
        <v>468</v>
      </c>
      <c r="G149">
        <v>468</v>
      </c>
      <c r="H149">
        <v>464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468</v>
      </c>
      <c r="P149">
        <v>468</v>
      </c>
      <c r="Q149">
        <v>464</v>
      </c>
      <c r="R149">
        <v>468</v>
      </c>
      <c r="S149">
        <v>0.991452991452991</v>
      </c>
      <c r="T149">
        <v>0</v>
      </c>
      <c r="U149">
        <v>0</v>
      </c>
    </row>
    <row r="150" spans="2:21">
      <c r="B150" s="152"/>
      <c r="C150" s="151" t="s">
        <v>3</v>
      </c>
      <c r="D150">
        <v>1</v>
      </c>
      <c r="E150">
        <v>1</v>
      </c>
      <c r="F150">
        <v>558</v>
      </c>
      <c r="G150">
        <v>557</v>
      </c>
      <c r="H150">
        <v>557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558</v>
      </c>
      <c r="P150">
        <v>557</v>
      </c>
      <c r="Q150">
        <v>557</v>
      </c>
      <c r="R150">
        <v>558</v>
      </c>
      <c r="S150">
        <v>1</v>
      </c>
      <c r="T150">
        <v>0</v>
      </c>
      <c r="U150">
        <v>0</v>
      </c>
    </row>
    <row r="151" spans="2:21">
      <c r="B151" s="152"/>
      <c r="C151" s="151" t="s">
        <v>4</v>
      </c>
      <c r="D151">
        <v>1</v>
      </c>
      <c r="E151">
        <v>1</v>
      </c>
      <c r="F151">
        <v>58</v>
      </c>
      <c r="G151">
        <v>57</v>
      </c>
      <c r="H151">
        <v>48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58</v>
      </c>
      <c r="P151">
        <v>57</v>
      </c>
      <c r="Q151">
        <v>48</v>
      </c>
      <c r="R151">
        <v>58</v>
      </c>
      <c r="S151">
        <v>0.842105263157895</v>
      </c>
      <c r="T151">
        <v>0</v>
      </c>
      <c r="U151">
        <v>0</v>
      </c>
    </row>
    <row r="152" spans="2:21">
      <c r="B152" s="152"/>
      <c r="C152" s="151" t="s">
        <v>5</v>
      </c>
      <c r="D152">
        <v>1</v>
      </c>
      <c r="E152">
        <v>1</v>
      </c>
      <c r="F152">
        <v>41</v>
      </c>
      <c r="G152">
        <v>41</v>
      </c>
      <c r="H152">
        <v>35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41</v>
      </c>
      <c r="P152">
        <v>41</v>
      </c>
      <c r="Q152">
        <v>35</v>
      </c>
      <c r="R152">
        <v>41</v>
      </c>
      <c r="S152">
        <v>0.853658536585366</v>
      </c>
      <c r="T152">
        <v>0</v>
      </c>
      <c r="U152">
        <v>0</v>
      </c>
    </row>
  </sheetData>
  <mergeCells count="12">
    <mergeCell ref="C3:H3"/>
    <mergeCell ref="I3:N3"/>
    <mergeCell ref="O3:T3"/>
    <mergeCell ref="U3:Z3"/>
    <mergeCell ref="AA3:AF3"/>
    <mergeCell ref="C31:E31"/>
    <mergeCell ref="F31:H31"/>
    <mergeCell ref="I31:K31"/>
    <mergeCell ref="L31:N31"/>
    <mergeCell ref="O31:S31"/>
    <mergeCell ref="T31:U31"/>
    <mergeCell ref="B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K56"/>
  <sheetViews>
    <sheetView zoomScale="55" zoomScaleNormal="55" workbookViewId="0">
      <selection activeCell="BE14" sqref="BE14"/>
    </sheetView>
  </sheetViews>
  <sheetFormatPr defaultColWidth="8.72727272727273" defaultRowHeight="14"/>
  <cols>
    <col min="2" max="2" width="7.48181818181818" customWidth="1"/>
    <col min="3" max="14" width="6.63636363636364" customWidth="1"/>
    <col min="15" max="15" width="7.13636363636364" customWidth="1"/>
    <col min="16" max="17" width="6.63636363636364" customWidth="1"/>
    <col min="18" max="18" width="7.39090909090909" customWidth="1"/>
    <col min="19" max="42" width="6.63636363636364" customWidth="1"/>
    <col min="48" max="63" width="12.6363636363636" customWidth="1"/>
  </cols>
  <sheetData>
    <row r="1" customHeight="1"/>
    <row r="2" customHeight="1"/>
    <row r="3" ht="21" spans="2:63">
      <c r="B3" s="11" t="s">
        <v>50</v>
      </c>
    </row>
    <row r="4" ht="21.75" spans="2:63">
      <c r="AV4" s="11" t="s">
        <v>51</v>
      </c>
    </row>
    <row r="5" ht="27" customHeight="1" spans="2:63">
      <c r="B5" s="107" t="s">
        <v>52</v>
      </c>
      <c r="C5" s="107" t="s">
        <v>1</v>
      </c>
      <c r="D5" s="107"/>
      <c r="E5" s="107"/>
      <c r="F5" s="107"/>
      <c r="G5" s="107"/>
      <c r="H5" s="107"/>
      <c r="I5" s="107"/>
      <c r="J5" s="107"/>
      <c r="K5" s="107" t="s">
        <v>2</v>
      </c>
      <c r="L5" s="107"/>
      <c r="M5" s="107"/>
      <c r="N5" s="107"/>
      <c r="O5" s="107"/>
      <c r="P5" s="107"/>
      <c r="Q5" s="107"/>
      <c r="R5" s="107"/>
      <c r="S5" s="107" t="s">
        <v>3</v>
      </c>
      <c r="T5" s="107"/>
      <c r="U5" s="107"/>
      <c r="V5" s="107"/>
      <c r="W5" s="108"/>
      <c r="X5" s="107"/>
      <c r="Y5" s="107"/>
      <c r="Z5" s="107"/>
      <c r="AA5" s="107" t="s">
        <v>4</v>
      </c>
      <c r="AB5" s="107"/>
      <c r="AC5" s="107"/>
      <c r="AD5" s="107"/>
      <c r="AE5" s="108"/>
      <c r="AF5" s="107"/>
      <c r="AG5" s="107"/>
      <c r="AH5" s="107"/>
      <c r="AI5" s="107" t="s">
        <v>5</v>
      </c>
      <c r="AJ5" s="107"/>
      <c r="AK5" s="107"/>
      <c r="AL5" s="107"/>
      <c r="AM5" s="108"/>
      <c r="AN5" s="107"/>
      <c r="AO5" s="107"/>
      <c r="AP5" s="107"/>
      <c r="AV5" s="13" t="s">
        <v>52</v>
      </c>
      <c r="AW5" s="13" t="s">
        <v>1</v>
      </c>
      <c r="AX5" s="13"/>
      <c r="AY5" s="13"/>
      <c r="AZ5" s="13"/>
      <c r="BA5" s="13"/>
      <c r="BB5" s="13" t="s">
        <v>2</v>
      </c>
      <c r="BC5" s="13"/>
      <c r="BD5" s="13"/>
      <c r="BE5" s="13"/>
      <c r="BF5" s="13"/>
      <c r="BG5" s="13" t="s">
        <v>3</v>
      </c>
      <c r="BH5" s="13"/>
      <c r="BI5" s="13"/>
      <c r="BJ5" s="13"/>
      <c r="BK5" s="13"/>
    </row>
    <row r="6" ht="41" customHeight="1" spans="2:63">
      <c r="B6" s="107"/>
      <c r="C6" s="107" t="s">
        <v>6</v>
      </c>
      <c r="D6" s="107" t="s">
        <v>7</v>
      </c>
      <c r="E6" s="107" t="s">
        <v>8</v>
      </c>
      <c r="F6" s="107" t="s">
        <v>9</v>
      </c>
      <c r="G6" s="107" t="s">
        <v>10</v>
      </c>
      <c r="H6" s="107" t="s">
        <v>53</v>
      </c>
      <c r="I6" s="107" t="s">
        <v>54</v>
      </c>
      <c r="J6" s="107" t="s">
        <v>55</v>
      </c>
      <c r="K6" s="107" t="s">
        <v>6</v>
      </c>
      <c r="L6" s="107" t="s">
        <v>7</v>
      </c>
      <c r="M6" s="107" t="s">
        <v>8</v>
      </c>
      <c r="N6" s="107" t="s">
        <v>56</v>
      </c>
      <c r="O6" s="107" t="s">
        <v>10</v>
      </c>
      <c r="P6" s="107" t="s">
        <v>53</v>
      </c>
      <c r="Q6" s="107" t="s">
        <v>54</v>
      </c>
      <c r="R6" s="107" t="s">
        <v>57</v>
      </c>
      <c r="S6" s="107" t="s">
        <v>6</v>
      </c>
      <c r="T6" s="107" t="s">
        <v>7</v>
      </c>
      <c r="U6" s="107" t="s">
        <v>8</v>
      </c>
      <c r="V6" s="107" t="s">
        <v>56</v>
      </c>
      <c r="W6" s="107" t="s">
        <v>10</v>
      </c>
      <c r="X6" s="107" t="s">
        <v>53</v>
      </c>
      <c r="Y6" s="107" t="s">
        <v>54</v>
      </c>
      <c r="Z6" s="107" t="s">
        <v>57</v>
      </c>
      <c r="AA6" s="107" t="s">
        <v>6</v>
      </c>
      <c r="AB6" s="107" t="s">
        <v>7</v>
      </c>
      <c r="AC6" s="107" t="s">
        <v>8</v>
      </c>
      <c r="AD6" s="107" t="s">
        <v>56</v>
      </c>
      <c r="AE6" s="107" t="s">
        <v>10</v>
      </c>
      <c r="AF6" s="107" t="s">
        <v>53</v>
      </c>
      <c r="AG6" s="107" t="s">
        <v>54</v>
      </c>
      <c r="AH6" s="107" t="s">
        <v>57</v>
      </c>
      <c r="AI6" s="107" t="s">
        <v>6</v>
      </c>
      <c r="AJ6" s="107" t="s">
        <v>7</v>
      </c>
      <c r="AK6" s="107" t="s">
        <v>8</v>
      </c>
      <c r="AL6" s="107" t="s">
        <v>56</v>
      </c>
      <c r="AM6" s="107" t="s">
        <v>10</v>
      </c>
      <c r="AN6" s="107" t="s">
        <v>53</v>
      </c>
      <c r="AO6" s="107" t="s">
        <v>54</v>
      </c>
      <c r="AP6" s="107" t="s">
        <v>57</v>
      </c>
      <c r="AV6" s="13"/>
      <c r="AW6" s="13" t="s">
        <v>6</v>
      </c>
      <c r="AX6" s="13" t="s">
        <v>8</v>
      </c>
      <c r="AY6" s="13" t="s">
        <v>53</v>
      </c>
      <c r="AZ6" s="13" t="s">
        <v>54</v>
      </c>
      <c r="BA6" s="13" t="s">
        <v>55</v>
      </c>
      <c r="BB6" s="13" t="s">
        <v>6</v>
      </c>
      <c r="BC6" s="13" t="s">
        <v>8</v>
      </c>
      <c r="BD6" s="13" t="s">
        <v>53</v>
      </c>
      <c r="BE6" s="13" t="s">
        <v>54</v>
      </c>
      <c r="BF6" s="13" t="s">
        <v>57</v>
      </c>
      <c r="BG6" s="13" t="s">
        <v>6</v>
      </c>
      <c r="BH6" s="13" t="s">
        <v>8</v>
      </c>
      <c r="BI6" s="13" t="s">
        <v>53</v>
      </c>
      <c r="BJ6" s="13" t="s">
        <v>54</v>
      </c>
      <c r="BK6" s="13" t="s">
        <v>57</v>
      </c>
    </row>
    <row r="7" ht="15.25" spans="2:63">
      <c r="B7" s="109" t="s">
        <v>12</v>
      </c>
      <c r="C7" s="109">
        <f t="shared" ref="C7:C9" si="0">C34</f>
        <v>6</v>
      </c>
      <c r="D7" s="109">
        <f t="shared" ref="D7:H7" si="1">D34</f>
        <v>6</v>
      </c>
      <c r="E7" s="110">
        <f t="shared" si="1"/>
        <v>100</v>
      </c>
      <c r="F7" s="109">
        <f t="shared" si="1"/>
        <v>6</v>
      </c>
      <c r="G7" s="109">
        <f t="shared" si="1"/>
        <v>6</v>
      </c>
      <c r="H7" s="110">
        <f t="shared" si="1"/>
        <v>100</v>
      </c>
      <c r="I7" s="109">
        <f t="shared" ref="I7:I29" si="2">AL34</f>
        <v>5</v>
      </c>
      <c r="J7" s="110">
        <f t="shared" ref="J7:J9" si="3">I7/C7*100</f>
        <v>83.3333333333333</v>
      </c>
      <c r="K7" s="109">
        <f t="shared" ref="K7:K29" si="4">I34</f>
        <v>8395</v>
      </c>
      <c r="L7" s="109">
        <f t="shared" ref="L7:L29" si="5">J34</f>
        <v>8249</v>
      </c>
      <c r="M7" s="110">
        <f t="shared" ref="M7:M29" si="6">K34</f>
        <v>98.2608695652174</v>
      </c>
      <c r="N7" s="109">
        <f>L34</f>
        <v>8369</v>
      </c>
      <c r="O7" s="109">
        <f t="shared" ref="N7:P7" si="7">M34</f>
        <v>8268</v>
      </c>
      <c r="P7" s="110">
        <f t="shared" si="7"/>
        <v>98.7931652527184</v>
      </c>
      <c r="Q7" s="109">
        <f t="shared" ref="Q7:Q29" si="8">AM34</f>
        <v>3372</v>
      </c>
      <c r="R7" s="110">
        <f t="shared" ref="R7:R29" si="9">Q7/K7*100</f>
        <v>40.1667659321024</v>
      </c>
      <c r="S7" s="109">
        <f t="shared" ref="S7:S29" si="10">O34</f>
        <v>105789</v>
      </c>
      <c r="T7" s="109">
        <f t="shared" ref="T7:T29" si="11">P34</f>
        <v>99869</v>
      </c>
      <c r="U7" s="110">
        <f t="shared" ref="U7:U29" si="12">Q34</f>
        <v>94.4039550425848</v>
      </c>
      <c r="V7" s="109">
        <f t="shared" ref="V7:X7" si="13">R34</f>
        <v>105229</v>
      </c>
      <c r="W7" s="109">
        <f t="shared" si="13"/>
        <v>89809</v>
      </c>
      <c r="X7" s="110">
        <f t="shared" si="13"/>
        <v>85.3462448564559</v>
      </c>
      <c r="Y7" s="109">
        <f t="shared" ref="Y7:Y29" si="14">AN34</f>
        <v>45460</v>
      </c>
      <c r="Z7" s="110">
        <f t="shared" ref="Z7:Z29" si="15">Y7/S7*100</f>
        <v>42.9723317169082</v>
      </c>
      <c r="AA7" s="109">
        <f t="shared" ref="AA7:AA29" si="16">U34</f>
        <v>290800</v>
      </c>
      <c r="AB7" s="109">
        <f t="shared" ref="AB7:AF7" si="17">V34</f>
        <v>290800</v>
      </c>
      <c r="AC7" s="110">
        <f t="shared" si="17"/>
        <v>100</v>
      </c>
      <c r="AD7" s="109">
        <f t="shared" si="17"/>
        <v>286161</v>
      </c>
      <c r="AE7" s="109">
        <f t="shared" si="17"/>
        <v>122002</v>
      </c>
      <c r="AF7" s="110">
        <f t="shared" si="17"/>
        <v>42.6340416758398</v>
      </c>
      <c r="AG7" s="109">
        <f t="shared" ref="AG7:AG29" si="18">AO34</f>
        <v>111618</v>
      </c>
      <c r="AH7" s="110">
        <f t="shared" ref="AH7:AH29" si="19">AG7/AA7*100</f>
        <v>38.3830811554333</v>
      </c>
      <c r="AI7" s="109">
        <f t="shared" ref="AI7:AI29" si="20">AA34</f>
        <v>717373</v>
      </c>
      <c r="AJ7" s="109">
        <f t="shared" ref="AJ7:AN7" si="21">AB34</f>
        <v>717373</v>
      </c>
      <c r="AK7" s="110">
        <f t="shared" si="21"/>
        <v>100</v>
      </c>
      <c r="AL7" s="109">
        <f t="shared" si="21"/>
        <v>698618</v>
      </c>
      <c r="AM7" s="109">
        <f t="shared" si="21"/>
        <v>146707</v>
      </c>
      <c r="AN7" s="110">
        <f t="shared" si="21"/>
        <v>20.9996020715183</v>
      </c>
      <c r="AO7" s="109">
        <f t="shared" ref="AO7:AO29" si="22">AP34</f>
        <v>239190</v>
      </c>
      <c r="AP7" s="110">
        <f t="shared" ref="AP7:AP29" si="23">AO7/AI7*100</f>
        <v>33.3424871022467</v>
      </c>
      <c r="AV7" s="24" t="s">
        <v>12</v>
      </c>
      <c r="AW7" s="24">
        <f>C7</f>
        <v>6</v>
      </c>
      <c r="AX7" s="28">
        <f>E7</f>
        <v>100</v>
      </c>
      <c r="AY7" s="28">
        <f t="shared" ref="AY7:AY29" si="24">H7</f>
        <v>100</v>
      </c>
      <c r="AZ7" s="24">
        <f t="shared" ref="AZ7:AZ29" si="25">I7</f>
        <v>5</v>
      </c>
      <c r="BA7" s="28">
        <f t="shared" ref="BA7:BA29" si="26">J7</f>
        <v>83.3333333333333</v>
      </c>
      <c r="BB7" s="24">
        <f t="shared" ref="BB7:BB29" si="27">K7</f>
        <v>8395</v>
      </c>
      <c r="BC7" s="28">
        <f t="shared" ref="BC7:BC29" si="28">M7</f>
        <v>98.2608695652174</v>
      </c>
      <c r="BD7" s="28">
        <f t="shared" ref="BD7:BD29" si="29">P7</f>
        <v>98.7931652527184</v>
      </c>
      <c r="BE7" s="24">
        <f t="shared" ref="BE7:BE29" si="30">Q7</f>
        <v>3372</v>
      </c>
      <c r="BF7" s="28">
        <f t="shared" ref="BF7:BF29" si="31">R7</f>
        <v>40.1667659321024</v>
      </c>
      <c r="BG7" s="24">
        <f t="shared" ref="BG7:BG29" si="32">S7</f>
        <v>105789</v>
      </c>
      <c r="BH7" s="28">
        <f t="shared" ref="BH7:BH29" si="33">U7</f>
        <v>94.4039550425848</v>
      </c>
      <c r="BI7" s="28">
        <f t="shared" ref="BI7:BI29" si="34">X7</f>
        <v>85.3462448564559</v>
      </c>
      <c r="BJ7" s="24">
        <f t="shared" ref="BJ7:BJ29" si="35">Y7</f>
        <v>45460</v>
      </c>
      <c r="BK7" s="28">
        <f t="shared" ref="BK7:BK29" si="36">Z7</f>
        <v>42.9723317169082</v>
      </c>
    </row>
    <row r="8" ht="15.25" spans="2:63">
      <c r="B8" s="111" t="s">
        <v>13</v>
      </c>
      <c r="C8" s="112">
        <f t="shared" si="0"/>
        <v>4</v>
      </c>
      <c r="D8" s="112">
        <f t="shared" ref="D8:H8" si="37">D35</f>
        <v>4</v>
      </c>
      <c r="E8" s="113">
        <f t="shared" si="37"/>
        <v>100</v>
      </c>
      <c r="F8" s="112">
        <f t="shared" si="37"/>
        <v>4</v>
      </c>
      <c r="G8" s="112">
        <f t="shared" si="37"/>
        <v>4</v>
      </c>
      <c r="H8" s="113">
        <f t="shared" si="37"/>
        <v>100</v>
      </c>
      <c r="I8" s="112">
        <f t="shared" si="2"/>
        <v>4</v>
      </c>
      <c r="J8" s="113">
        <f t="shared" si="3"/>
        <v>100</v>
      </c>
      <c r="K8" s="112">
        <f t="shared" si="4"/>
        <v>2887</v>
      </c>
      <c r="L8" s="112">
        <f t="shared" si="5"/>
        <v>2864</v>
      </c>
      <c r="M8" s="114">
        <f t="shared" si="6"/>
        <v>99.2033252511257</v>
      </c>
      <c r="N8" s="112">
        <f t="shared" ref="N8:P8" si="38">L35</f>
        <v>2885</v>
      </c>
      <c r="O8" s="112">
        <f t="shared" si="38"/>
        <v>2869</v>
      </c>
      <c r="P8" s="114">
        <f t="shared" si="38"/>
        <v>99.4454072790295</v>
      </c>
      <c r="Q8" s="112">
        <f t="shared" si="8"/>
        <v>1227</v>
      </c>
      <c r="R8" s="114">
        <f t="shared" si="9"/>
        <v>42.500865950814</v>
      </c>
      <c r="S8" s="112">
        <f t="shared" si="10"/>
        <v>30602</v>
      </c>
      <c r="T8" s="112">
        <f t="shared" si="11"/>
        <v>27111</v>
      </c>
      <c r="U8" s="114">
        <f t="shared" si="12"/>
        <v>88.5922488726227</v>
      </c>
      <c r="V8" s="112">
        <f t="shared" ref="V8:X8" si="39">R35</f>
        <v>30446</v>
      </c>
      <c r="W8" s="112">
        <f t="shared" si="39"/>
        <v>18503</v>
      </c>
      <c r="X8" s="114">
        <f t="shared" si="39"/>
        <v>60.7731721736846</v>
      </c>
      <c r="Y8" s="112">
        <f t="shared" si="14"/>
        <v>13080</v>
      </c>
      <c r="Z8" s="114">
        <f t="shared" si="15"/>
        <v>42.7423044245474</v>
      </c>
      <c r="AA8" s="112">
        <f t="shared" si="16"/>
        <v>73968</v>
      </c>
      <c r="AB8" s="112">
        <f t="shared" ref="AB8:AF8" si="40">V35</f>
        <v>73968</v>
      </c>
      <c r="AC8" s="114">
        <f t="shared" si="40"/>
        <v>100</v>
      </c>
      <c r="AD8" s="112">
        <f t="shared" si="40"/>
        <v>73224</v>
      </c>
      <c r="AE8" s="112">
        <f t="shared" si="40"/>
        <v>21041</v>
      </c>
      <c r="AF8" s="114">
        <f t="shared" si="40"/>
        <v>28.7351141702174</v>
      </c>
      <c r="AG8" s="112">
        <f t="shared" si="18"/>
        <v>26346</v>
      </c>
      <c r="AH8" s="113">
        <f t="shared" si="19"/>
        <v>35.6181051265412</v>
      </c>
      <c r="AI8" s="112">
        <f t="shared" si="20"/>
        <v>141429</v>
      </c>
      <c r="AJ8" s="112">
        <f t="shared" ref="AJ8:AN8" si="41">AB35</f>
        <v>141429</v>
      </c>
      <c r="AK8" s="114">
        <f t="shared" si="41"/>
        <v>100</v>
      </c>
      <c r="AL8" s="112">
        <f t="shared" si="41"/>
        <v>138911</v>
      </c>
      <c r="AM8" s="112">
        <f t="shared" si="41"/>
        <v>1014</v>
      </c>
      <c r="AN8" s="114">
        <f t="shared" si="41"/>
        <v>0.729963789764669</v>
      </c>
      <c r="AO8" s="112">
        <f t="shared" si="22"/>
        <v>44317</v>
      </c>
      <c r="AP8" s="113">
        <f t="shared" si="23"/>
        <v>31.3351575702296</v>
      </c>
      <c r="AV8" s="30" t="s">
        <v>13</v>
      </c>
      <c r="AW8" s="31">
        <f t="shared" ref="AW8:AW29" si="42">C8</f>
        <v>4</v>
      </c>
      <c r="AX8" s="32">
        <f t="shared" ref="AX8:AX29" si="43">E8</f>
        <v>100</v>
      </c>
      <c r="AY8" s="32">
        <f t="shared" si="24"/>
        <v>100</v>
      </c>
      <c r="AZ8" s="31">
        <f t="shared" si="25"/>
        <v>4</v>
      </c>
      <c r="BA8" s="115">
        <f t="shared" si="26"/>
        <v>100</v>
      </c>
      <c r="BB8" s="31">
        <f t="shared" si="27"/>
        <v>2887</v>
      </c>
      <c r="BC8" s="32">
        <f t="shared" si="28"/>
        <v>99.2033252511257</v>
      </c>
      <c r="BD8" s="32">
        <f t="shared" si="29"/>
        <v>99.4454072790295</v>
      </c>
      <c r="BE8" s="31">
        <f t="shared" si="30"/>
        <v>1227</v>
      </c>
      <c r="BF8" s="115">
        <f t="shared" si="31"/>
        <v>42.500865950814</v>
      </c>
      <c r="BG8" s="31">
        <f t="shared" si="32"/>
        <v>30602</v>
      </c>
      <c r="BH8" s="32">
        <f t="shared" si="33"/>
        <v>88.5922488726227</v>
      </c>
      <c r="BI8" s="32">
        <f t="shared" si="34"/>
        <v>60.7731721736846</v>
      </c>
      <c r="BJ8" s="31">
        <f t="shared" si="35"/>
        <v>13080</v>
      </c>
      <c r="BK8" s="115">
        <f t="shared" si="36"/>
        <v>42.7423044245474</v>
      </c>
    </row>
    <row r="9" ht="15.25" spans="2:63">
      <c r="B9" s="111" t="s">
        <v>14</v>
      </c>
      <c r="C9" s="112">
        <f t="shared" si="0"/>
        <v>1</v>
      </c>
      <c r="D9" s="112">
        <f t="shared" ref="D9:H9" si="44">D36</f>
        <v>1</v>
      </c>
      <c r="E9" s="113">
        <f t="shared" si="44"/>
        <v>100</v>
      </c>
      <c r="F9" s="112">
        <f t="shared" si="44"/>
        <v>1</v>
      </c>
      <c r="G9" s="112">
        <f t="shared" si="44"/>
        <v>1</v>
      </c>
      <c r="H9" s="113">
        <f t="shared" si="44"/>
        <v>100</v>
      </c>
      <c r="I9" s="112">
        <f t="shared" si="2"/>
        <v>0</v>
      </c>
      <c r="J9" s="113">
        <f t="shared" si="3"/>
        <v>0</v>
      </c>
      <c r="K9" s="112">
        <f t="shared" si="4"/>
        <v>2118</v>
      </c>
      <c r="L9" s="112">
        <f t="shared" si="5"/>
        <v>2109</v>
      </c>
      <c r="M9" s="116">
        <f t="shared" si="6"/>
        <v>99.5750708215297</v>
      </c>
      <c r="N9" s="112">
        <f t="shared" ref="N9:P9" si="45">L36</f>
        <v>2116</v>
      </c>
      <c r="O9" s="112">
        <f t="shared" si="45"/>
        <v>2103</v>
      </c>
      <c r="P9" s="116">
        <f t="shared" si="45"/>
        <v>99.3856332703214</v>
      </c>
      <c r="Q9" s="112">
        <f t="shared" si="8"/>
        <v>833</v>
      </c>
      <c r="R9" s="116">
        <f t="shared" si="9"/>
        <v>39.3295561850803</v>
      </c>
      <c r="S9" s="112">
        <f t="shared" si="10"/>
        <v>17554</v>
      </c>
      <c r="T9" s="112">
        <f t="shared" si="11"/>
        <v>17312</v>
      </c>
      <c r="U9" s="116">
        <f t="shared" si="12"/>
        <v>98.6213968326307</v>
      </c>
      <c r="V9" s="112">
        <f t="shared" ref="V9:X9" si="46">R36</f>
        <v>17452</v>
      </c>
      <c r="W9" s="112">
        <f t="shared" si="46"/>
        <v>17171</v>
      </c>
      <c r="X9" s="116">
        <f t="shared" si="46"/>
        <v>98.3898693559478</v>
      </c>
      <c r="Y9" s="112">
        <f t="shared" si="14"/>
        <v>8214</v>
      </c>
      <c r="Z9" s="116">
        <f t="shared" si="15"/>
        <v>46.7927537883104</v>
      </c>
      <c r="AA9" s="112">
        <f t="shared" si="16"/>
        <v>56073</v>
      </c>
      <c r="AB9" s="112">
        <f t="shared" ref="AB9:AF9" si="47">V36</f>
        <v>56073</v>
      </c>
      <c r="AC9" s="116">
        <f t="shared" si="47"/>
        <v>100</v>
      </c>
      <c r="AD9" s="112">
        <f t="shared" si="47"/>
        <v>54523</v>
      </c>
      <c r="AE9" s="112">
        <f t="shared" si="47"/>
        <v>17905</v>
      </c>
      <c r="AF9" s="116">
        <f t="shared" si="47"/>
        <v>32.839352199989</v>
      </c>
      <c r="AG9" s="112">
        <f t="shared" si="18"/>
        <v>21416</v>
      </c>
      <c r="AH9" s="113">
        <f t="shared" si="19"/>
        <v>38.1930697483637</v>
      </c>
      <c r="AI9" s="112">
        <f t="shared" si="20"/>
        <v>143683</v>
      </c>
      <c r="AJ9" s="112">
        <f t="shared" ref="AJ9:AN9" si="48">AB36</f>
        <v>143683</v>
      </c>
      <c r="AK9" s="116">
        <f t="shared" si="48"/>
        <v>100</v>
      </c>
      <c r="AL9" s="112">
        <f t="shared" si="48"/>
        <v>137852</v>
      </c>
      <c r="AM9" s="112">
        <f t="shared" si="48"/>
        <v>12705</v>
      </c>
      <c r="AN9" s="116">
        <f t="shared" si="48"/>
        <v>9.21640600063837</v>
      </c>
      <c r="AO9" s="112">
        <f t="shared" si="22"/>
        <v>46067</v>
      </c>
      <c r="AP9" s="113">
        <f t="shared" si="23"/>
        <v>32.061552166923</v>
      </c>
      <c r="AV9" s="30" t="s">
        <v>14</v>
      </c>
      <c r="AW9" s="31">
        <f t="shared" si="42"/>
        <v>1</v>
      </c>
      <c r="AX9" s="32">
        <f t="shared" si="43"/>
        <v>100</v>
      </c>
      <c r="AY9" s="32">
        <f t="shared" si="24"/>
        <v>100</v>
      </c>
      <c r="AZ9" s="31">
        <f t="shared" si="25"/>
        <v>0</v>
      </c>
      <c r="BA9" s="117">
        <f t="shared" si="26"/>
        <v>0</v>
      </c>
      <c r="BB9" s="31">
        <f t="shared" si="27"/>
        <v>2118</v>
      </c>
      <c r="BC9" s="32">
        <f t="shared" si="28"/>
        <v>99.5750708215297</v>
      </c>
      <c r="BD9" s="32">
        <f t="shared" si="29"/>
        <v>99.3856332703214</v>
      </c>
      <c r="BE9" s="31">
        <f t="shared" si="30"/>
        <v>833</v>
      </c>
      <c r="BF9" s="117">
        <f t="shared" si="31"/>
        <v>39.3295561850803</v>
      </c>
      <c r="BG9" s="31">
        <f t="shared" si="32"/>
        <v>17554</v>
      </c>
      <c r="BH9" s="32">
        <f t="shared" si="33"/>
        <v>98.6213968326307</v>
      </c>
      <c r="BI9" s="32">
        <f t="shared" si="34"/>
        <v>98.3898693559478</v>
      </c>
      <c r="BJ9" s="31">
        <f t="shared" si="35"/>
        <v>8214</v>
      </c>
      <c r="BK9" s="117">
        <f t="shared" si="36"/>
        <v>46.7927537883104</v>
      </c>
    </row>
    <row r="10" ht="15.25" spans="2:63">
      <c r="B10" s="111" t="s">
        <v>15</v>
      </c>
      <c r="C10" s="112">
        <v>0</v>
      </c>
      <c r="D10" s="112">
        <v>0</v>
      </c>
      <c r="E10" s="112">
        <v>0</v>
      </c>
      <c r="F10" s="112">
        <v>0</v>
      </c>
      <c r="G10" s="112">
        <v>0</v>
      </c>
      <c r="H10" s="112">
        <v>0</v>
      </c>
      <c r="I10" s="112">
        <f t="shared" si="2"/>
        <v>0</v>
      </c>
      <c r="J10" s="112">
        <v>0</v>
      </c>
      <c r="K10" s="112">
        <f t="shared" si="4"/>
        <v>605</v>
      </c>
      <c r="L10" s="112">
        <f t="shared" si="5"/>
        <v>595</v>
      </c>
      <c r="M10" s="116">
        <f t="shared" si="6"/>
        <v>98.3471074380165</v>
      </c>
      <c r="N10" s="112">
        <f t="shared" ref="N10:P10" si="49">L37</f>
        <v>605</v>
      </c>
      <c r="O10" s="112">
        <f t="shared" si="49"/>
        <v>602</v>
      </c>
      <c r="P10" s="116">
        <f t="shared" si="49"/>
        <v>99.504132231405</v>
      </c>
      <c r="Q10" s="112">
        <f t="shared" si="8"/>
        <v>282</v>
      </c>
      <c r="R10" s="116">
        <f t="shared" si="9"/>
        <v>46.6115702479339</v>
      </c>
      <c r="S10" s="112">
        <f t="shared" si="10"/>
        <v>15810</v>
      </c>
      <c r="T10" s="112">
        <f t="shared" si="11"/>
        <v>15482</v>
      </c>
      <c r="U10" s="116">
        <f t="shared" si="12"/>
        <v>97.9253636938646</v>
      </c>
      <c r="V10" s="112">
        <f t="shared" ref="V10:X10" si="50">R37</f>
        <v>15734</v>
      </c>
      <c r="W10" s="112">
        <f t="shared" si="50"/>
        <v>15293</v>
      </c>
      <c r="X10" s="116">
        <f t="shared" si="50"/>
        <v>97.1971526630228</v>
      </c>
      <c r="Y10" s="112">
        <f t="shared" si="14"/>
        <v>7172</v>
      </c>
      <c r="Z10" s="116">
        <f t="shared" si="15"/>
        <v>45.3636938646426</v>
      </c>
      <c r="AA10" s="112">
        <f t="shared" si="16"/>
        <v>26223</v>
      </c>
      <c r="AB10" s="112">
        <f t="shared" ref="AB10:AF10" si="51">V37</f>
        <v>26223</v>
      </c>
      <c r="AC10" s="116">
        <f t="shared" si="51"/>
        <v>100</v>
      </c>
      <c r="AD10" s="112">
        <f t="shared" si="51"/>
        <v>25931</v>
      </c>
      <c r="AE10" s="112">
        <f t="shared" si="51"/>
        <v>5238</v>
      </c>
      <c r="AF10" s="116">
        <f t="shared" si="51"/>
        <v>20.1997609039374</v>
      </c>
      <c r="AG10" s="112">
        <f t="shared" si="18"/>
        <v>11008</v>
      </c>
      <c r="AH10" s="113">
        <f t="shared" si="19"/>
        <v>41.9784158944438</v>
      </c>
      <c r="AI10" s="112">
        <f t="shared" si="20"/>
        <v>76861</v>
      </c>
      <c r="AJ10" s="112">
        <f t="shared" ref="AJ10:AN10" si="52">AB37</f>
        <v>76861</v>
      </c>
      <c r="AK10" s="116">
        <f t="shared" si="52"/>
        <v>100</v>
      </c>
      <c r="AL10" s="112">
        <f t="shared" si="52"/>
        <v>75685</v>
      </c>
      <c r="AM10" s="112">
        <f t="shared" si="52"/>
        <v>3152</v>
      </c>
      <c r="AN10" s="116">
        <f t="shared" si="52"/>
        <v>4.16462971526723</v>
      </c>
      <c r="AO10" s="112">
        <f t="shared" si="22"/>
        <v>27708</v>
      </c>
      <c r="AP10" s="113">
        <f t="shared" si="23"/>
        <v>36.0494919399956</v>
      </c>
      <c r="AV10" s="30" t="s">
        <v>15</v>
      </c>
      <c r="AW10" s="31">
        <f t="shared" si="42"/>
        <v>0</v>
      </c>
      <c r="AX10" s="31">
        <f t="shared" si="43"/>
        <v>0</v>
      </c>
      <c r="AY10" s="31">
        <f t="shared" si="24"/>
        <v>0</v>
      </c>
      <c r="AZ10" s="31">
        <f t="shared" si="25"/>
        <v>0</v>
      </c>
      <c r="BA10" s="117">
        <f t="shared" si="26"/>
        <v>0</v>
      </c>
      <c r="BB10" s="31">
        <f t="shared" si="27"/>
        <v>605</v>
      </c>
      <c r="BC10" s="32">
        <f t="shared" si="28"/>
        <v>98.3471074380165</v>
      </c>
      <c r="BD10" s="32">
        <f t="shared" si="29"/>
        <v>99.504132231405</v>
      </c>
      <c r="BE10" s="31">
        <f t="shared" si="30"/>
        <v>282</v>
      </c>
      <c r="BF10" s="117">
        <f t="shared" si="31"/>
        <v>46.6115702479339</v>
      </c>
      <c r="BG10" s="31">
        <f t="shared" si="32"/>
        <v>15810</v>
      </c>
      <c r="BH10" s="32">
        <f t="shared" si="33"/>
        <v>97.9253636938646</v>
      </c>
      <c r="BI10" s="32">
        <f t="shared" si="34"/>
        <v>97.1971526630228</v>
      </c>
      <c r="BJ10" s="31">
        <f t="shared" si="35"/>
        <v>7172</v>
      </c>
      <c r="BK10" s="117">
        <f t="shared" si="36"/>
        <v>45.3636938646426</v>
      </c>
    </row>
    <row r="11" ht="15.25" spans="2:63">
      <c r="B11" s="111" t="s">
        <v>16</v>
      </c>
      <c r="C11" s="112">
        <v>0</v>
      </c>
      <c r="D11" s="112">
        <v>0</v>
      </c>
      <c r="E11" s="112">
        <v>0</v>
      </c>
      <c r="F11" s="112">
        <v>0</v>
      </c>
      <c r="G11" s="112">
        <v>0</v>
      </c>
      <c r="H11" s="112">
        <v>0</v>
      </c>
      <c r="I11" s="112">
        <f t="shared" si="2"/>
        <v>0</v>
      </c>
      <c r="J11" s="112">
        <v>0</v>
      </c>
      <c r="K11" s="112">
        <f t="shared" si="4"/>
        <v>548</v>
      </c>
      <c r="L11" s="112">
        <f t="shared" si="5"/>
        <v>504</v>
      </c>
      <c r="M11" s="116">
        <f t="shared" si="6"/>
        <v>91.970802919708</v>
      </c>
      <c r="N11" s="112">
        <f t="shared" ref="N11:P11" si="53">L38</f>
        <v>547</v>
      </c>
      <c r="O11" s="112">
        <f t="shared" si="53"/>
        <v>535</v>
      </c>
      <c r="P11" s="116">
        <f t="shared" si="53"/>
        <v>97.8062157221207</v>
      </c>
      <c r="Q11" s="112">
        <f t="shared" si="8"/>
        <v>220</v>
      </c>
      <c r="R11" s="116">
        <f t="shared" si="9"/>
        <v>40.1459854014599</v>
      </c>
      <c r="S11" s="112">
        <f t="shared" si="10"/>
        <v>11747</v>
      </c>
      <c r="T11" s="112">
        <f t="shared" si="11"/>
        <v>10451</v>
      </c>
      <c r="U11" s="116">
        <f t="shared" si="12"/>
        <v>88.967395930876</v>
      </c>
      <c r="V11" s="112">
        <f t="shared" ref="V11:X11" si="54">R38</f>
        <v>11684</v>
      </c>
      <c r="W11" s="112">
        <f t="shared" si="54"/>
        <v>10904</v>
      </c>
      <c r="X11" s="116">
        <f t="shared" si="54"/>
        <v>93.3242040397124</v>
      </c>
      <c r="Y11" s="112">
        <f t="shared" si="14"/>
        <v>4965</v>
      </c>
      <c r="Z11" s="116">
        <f t="shared" si="15"/>
        <v>42.2661104962969</v>
      </c>
      <c r="AA11" s="112">
        <f t="shared" si="16"/>
        <v>25400</v>
      </c>
      <c r="AB11" s="112">
        <f t="shared" ref="AB11:AF11" si="55">V38</f>
        <v>25400</v>
      </c>
      <c r="AC11" s="116">
        <f t="shared" si="55"/>
        <v>100</v>
      </c>
      <c r="AD11" s="112">
        <f t="shared" si="55"/>
        <v>25128</v>
      </c>
      <c r="AE11" s="112">
        <f t="shared" si="55"/>
        <v>21257</v>
      </c>
      <c r="AF11" s="116">
        <f t="shared" si="55"/>
        <v>84.5948742438714</v>
      </c>
      <c r="AG11" s="112">
        <f t="shared" si="18"/>
        <v>9742</v>
      </c>
      <c r="AH11" s="113">
        <f t="shared" si="19"/>
        <v>38.3543307086614</v>
      </c>
      <c r="AI11" s="112">
        <f t="shared" si="20"/>
        <v>83986</v>
      </c>
      <c r="AJ11" s="112">
        <f t="shared" ref="AJ11:AN11" si="56">AB38</f>
        <v>83986</v>
      </c>
      <c r="AK11" s="116">
        <f t="shared" si="56"/>
        <v>100</v>
      </c>
      <c r="AL11" s="112">
        <f t="shared" si="56"/>
        <v>82613</v>
      </c>
      <c r="AM11" s="112">
        <f t="shared" si="56"/>
        <v>61968</v>
      </c>
      <c r="AN11" s="116">
        <f t="shared" si="56"/>
        <v>75.0099863217653</v>
      </c>
      <c r="AO11" s="112">
        <f t="shared" si="22"/>
        <v>29485</v>
      </c>
      <c r="AP11" s="113">
        <f t="shared" si="23"/>
        <v>35.1070416497988</v>
      </c>
      <c r="AV11" s="30" t="s">
        <v>16</v>
      </c>
      <c r="AW11" s="31">
        <f t="shared" si="42"/>
        <v>0</v>
      </c>
      <c r="AX11" s="31">
        <f t="shared" si="43"/>
        <v>0</v>
      </c>
      <c r="AY11" s="31">
        <f t="shared" si="24"/>
        <v>0</v>
      </c>
      <c r="AZ11" s="31">
        <f t="shared" si="25"/>
        <v>0</v>
      </c>
      <c r="BA11" s="117">
        <f t="shared" si="26"/>
        <v>0</v>
      </c>
      <c r="BB11" s="31">
        <f t="shared" si="27"/>
        <v>548</v>
      </c>
      <c r="BC11" s="32">
        <f t="shared" si="28"/>
        <v>91.970802919708</v>
      </c>
      <c r="BD11" s="32">
        <f t="shared" si="29"/>
        <v>97.8062157221207</v>
      </c>
      <c r="BE11" s="31">
        <f t="shared" si="30"/>
        <v>220</v>
      </c>
      <c r="BF11" s="117">
        <f t="shared" si="31"/>
        <v>40.1459854014599</v>
      </c>
      <c r="BG11" s="31">
        <f t="shared" si="32"/>
        <v>11747</v>
      </c>
      <c r="BH11" s="32">
        <f t="shared" si="33"/>
        <v>88.967395930876</v>
      </c>
      <c r="BI11" s="32">
        <f t="shared" si="34"/>
        <v>93.3242040397124</v>
      </c>
      <c r="BJ11" s="31">
        <f t="shared" si="35"/>
        <v>4965</v>
      </c>
      <c r="BK11" s="117">
        <f t="shared" si="36"/>
        <v>42.2661104962969</v>
      </c>
    </row>
    <row r="12" ht="15.25" spans="2:63">
      <c r="B12" s="118" t="s">
        <v>17</v>
      </c>
      <c r="C12" s="119">
        <v>0</v>
      </c>
      <c r="D12" s="119">
        <v>0</v>
      </c>
      <c r="E12" s="119">
        <v>0</v>
      </c>
      <c r="F12" s="119">
        <v>0</v>
      </c>
      <c r="G12" s="119">
        <v>0</v>
      </c>
      <c r="H12" s="119">
        <v>0</v>
      </c>
      <c r="I12" s="119">
        <f t="shared" si="2"/>
        <v>0</v>
      </c>
      <c r="J12" s="119">
        <v>0</v>
      </c>
      <c r="K12" s="119">
        <f t="shared" si="4"/>
        <v>284</v>
      </c>
      <c r="L12" s="119">
        <f t="shared" si="5"/>
        <v>274</v>
      </c>
      <c r="M12" s="120">
        <f t="shared" si="6"/>
        <v>96.4788732394366</v>
      </c>
      <c r="N12" s="119">
        <f t="shared" ref="N12:P12" si="57">L39</f>
        <v>284</v>
      </c>
      <c r="O12" s="119">
        <f t="shared" si="57"/>
        <v>278</v>
      </c>
      <c r="P12" s="120">
        <f t="shared" si="57"/>
        <v>97.887323943662</v>
      </c>
      <c r="Q12" s="119">
        <f t="shared" si="8"/>
        <v>103</v>
      </c>
      <c r="R12" s="120">
        <f t="shared" si="9"/>
        <v>36.2676056338028</v>
      </c>
      <c r="S12" s="119">
        <f t="shared" si="10"/>
        <v>6165</v>
      </c>
      <c r="T12" s="119">
        <f t="shared" si="11"/>
        <v>5690</v>
      </c>
      <c r="U12" s="120">
        <f t="shared" si="12"/>
        <v>92.2952149229522</v>
      </c>
      <c r="V12" s="119">
        <f t="shared" ref="V12:X12" si="58">R39</f>
        <v>6150</v>
      </c>
      <c r="W12" s="119">
        <f t="shared" si="58"/>
        <v>5455</v>
      </c>
      <c r="X12" s="120">
        <f t="shared" si="58"/>
        <v>88.6991869918699</v>
      </c>
      <c r="Y12" s="119">
        <f t="shared" si="14"/>
        <v>2401</v>
      </c>
      <c r="Z12" s="120">
        <f t="shared" si="15"/>
        <v>38.9456609894566</v>
      </c>
      <c r="AA12" s="119">
        <f t="shared" si="16"/>
        <v>12569</v>
      </c>
      <c r="AB12" s="119">
        <f t="shared" ref="AB12:AF12" si="59">V39</f>
        <v>12569</v>
      </c>
      <c r="AC12" s="120">
        <f t="shared" si="59"/>
        <v>100</v>
      </c>
      <c r="AD12" s="119">
        <f t="shared" si="59"/>
        <v>12519</v>
      </c>
      <c r="AE12" s="119">
        <f t="shared" si="59"/>
        <v>8482</v>
      </c>
      <c r="AF12" s="120">
        <f t="shared" si="59"/>
        <v>67.7530154165668</v>
      </c>
      <c r="AG12" s="119">
        <f t="shared" si="18"/>
        <v>4382</v>
      </c>
      <c r="AH12" s="120">
        <f t="shared" si="19"/>
        <v>34.863553186411</v>
      </c>
      <c r="AI12" s="119">
        <f t="shared" si="20"/>
        <v>37019</v>
      </c>
      <c r="AJ12" s="119">
        <f t="shared" ref="AJ12:AN12" si="60">AB39</f>
        <v>37019</v>
      </c>
      <c r="AK12" s="120">
        <f t="shared" si="60"/>
        <v>100</v>
      </c>
      <c r="AL12" s="119">
        <f t="shared" si="60"/>
        <v>36556</v>
      </c>
      <c r="AM12" s="119">
        <f t="shared" si="60"/>
        <v>10098</v>
      </c>
      <c r="AN12" s="120">
        <f t="shared" si="60"/>
        <v>27.6233723602145</v>
      </c>
      <c r="AO12" s="119">
        <f t="shared" si="22"/>
        <v>11682</v>
      </c>
      <c r="AP12" s="120">
        <f t="shared" si="23"/>
        <v>31.5567681460871</v>
      </c>
      <c r="AV12" s="121" t="s">
        <v>17</v>
      </c>
      <c r="AW12" s="122">
        <f t="shared" si="42"/>
        <v>0</v>
      </c>
      <c r="AX12" s="122">
        <f t="shared" si="43"/>
        <v>0</v>
      </c>
      <c r="AY12" s="122">
        <f t="shared" si="24"/>
        <v>0</v>
      </c>
      <c r="AZ12" s="122">
        <f t="shared" si="25"/>
        <v>0</v>
      </c>
      <c r="BA12" s="123">
        <f t="shared" si="26"/>
        <v>0</v>
      </c>
      <c r="BB12" s="122">
        <f t="shared" si="27"/>
        <v>284</v>
      </c>
      <c r="BC12" s="124">
        <f t="shared" si="28"/>
        <v>96.4788732394366</v>
      </c>
      <c r="BD12" s="124">
        <f t="shared" si="29"/>
        <v>97.887323943662</v>
      </c>
      <c r="BE12" s="122">
        <f t="shared" si="30"/>
        <v>103</v>
      </c>
      <c r="BF12" s="123">
        <f t="shared" si="31"/>
        <v>36.2676056338028</v>
      </c>
      <c r="BG12" s="122">
        <f t="shared" si="32"/>
        <v>6165</v>
      </c>
      <c r="BH12" s="124">
        <f t="shared" si="33"/>
        <v>92.2952149229522</v>
      </c>
      <c r="BI12" s="124">
        <f t="shared" si="34"/>
        <v>88.6991869918699</v>
      </c>
      <c r="BJ12" s="122">
        <f t="shared" si="35"/>
        <v>2401</v>
      </c>
      <c r="BK12" s="123">
        <f t="shared" si="36"/>
        <v>38.9456609894566</v>
      </c>
    </row>
    <row r="13" ht="15.25" spans="2:63">
      <c r="B13" s="118" t="s">
        <v>18</v>
      </c>
      <c r="C13" s="119">
        <v>0</v>
      </c>
      <c r="D13" s="119">
        <v>0</v>
      </c>
      <c r="E13" s="119">
        <v>0</v>
      </c>
      <c r="F13" s="119">
        <v>0</v>
      </c>
      <c r="G13" s="119">
        <v>0</v>
      </c>
      <c r="H13" s="119">
        <v>0</v>
      </c>
      <c r="I13" s="119">
        <f t="shared" si="2"/>
        <v>0</v>
      </c>
      <c r="J13" s="119">
        <v>0</v>
      </c>
      <c r="K13" s="119">
        <f t="shared" si="4"/>
        <v>178</v>
      </c>
      <c r="L13" s="119">
        <f t="shared" si="5"/>
        <v>160</v>
      </c>
      <c r="M13" s="120">
        <f t="shared" si="6"/>
        <v>89.8876404494382</v>
      </c>
      <c r="N13" s="119">
        <f t="shared" ref="N13:P13" si="61">L40</f>
        <v>178</v>
      </c>
      <c r="O13" s="119">
        <f t="shared" si="61"/>
        <v>178</v>
      </c>
      <c r="P13" s="120">
        <f t="shared" si="61"/>
        <v>100</v>
      </c>
      <c r="Q13" s="119">
        <f t="shared" si="8"/>
        <v>73</v>
      </c>
      <c r="R13" s="120">
        <f t="shared" si="9"/>
        <v>41.0112359550562</v>
      </c>
      <c r="S13" s="119">
        <f t="shared" si="10"/>
        <v>5380</v>
      </c>
      <c r="T13" s="119">
        <f t="shared" si="11"/>
        <v>5107</v>
      </c>
      <c r="U13" s="120">
        <f t="shared" si="12"/>
        <v>94.9256505576208</v>
      </c>
      <c r="V13" s="119">
        <f t="shared" ref="V13:X13" si="62">R40</f>
        <v>5360</v>
      </c>
      <c r="W13" s="119">
        <f t="shared" si="62"/>
        <v>5278</v>
      </c>
      <c r="X13" s="120">
        <f t="shared" si="62"/>
        <v>98.4701492537313</v>
      </c>
      <c r="Y13" s="119">
        <f t="shared" si="14"/>
        <v>2429</v>
      </c>
      <c r="Z13" s="120">
        <f t="shared" si="15"/>
        <v>45.1486988847584</v>
      </c>
      <c r="AA13" s="119">
        <f t="shared" si="16"/>
        <v>13464</v>
      </c>
      <c r="AB13" s="119">
        <f t="shared" ref="AB13:AF13" si="63">V40</f>
        <v>13464</v>
      </c>
      <c r="AC13" s="120">
        <f t="shared" si="63"/>
        <v>100</v>
      </c>
      <c r="AD13" s="119">
        <f t="shared" si="63"/>
        <v>13376</v>
      </c>
      <c r="AE13" s="119">
        <f t="shared" si="63"/>
        <v>7898</v>
      </c>
      <c r="AF13" s="120">
        <f t="shared" si="63"/>
        <v>59.046052631579</v>
      </c>
      <c r="AG13" s="119">
        <f t="shared" si="18"/>
        <v>5284</v>
      </c>
      <c r="AH13" s="120">
        <f t="shared" si="19"/>
        <v>39.2453951277481</v>
      </c>
      <c r="AI13" s="119">
        <f t="shared" si="20"/>
        <v>44128</v>
      </c>
      <c r="AJ13" s="119">
        <f t="shared" ref="AJ13:AN13" si="64">AB40</f>
        <v>44128</v>
      </c>
      <c r="AK13" s="120">
        <f t="shared" si="64"/>
        <v>100</v>
      </c>
      <c r="AL13" s="119">
        <f t="shared" si="64"/>
        <v>43284</v>
      </c>
      <c r="AM13" s="119">
        <f t="shared" si="64"/>
        <v>15807</v>
      </c>
      <c r="AN13" s="120">
        <f t="shared" si="64"/>
        <v>36.5192680898253</v>
      </c>
      <c r="AO13" s="119">
        <f t="shared" si="22"/>
        <v>14736</v>
      </c>
      <c r="AP13" s="120">
        <f t="shared" si="23"/>
        <v>33.3937635968093</v>
      </c>
      <c r="AV13" s="121" t="s">
        <v>18</v>
      </c>
      <c r="AW13" s="122">
        <f t="shared" si="42"/>
        <v>0</v>
      </c>
      <c r="AX13" s="122">
        <f t="shared" si="43"/>
        <v>0</v>
      </c>
      <c r="AY13" s="122">
        <f t="shared" si="24"/>
        <v>0</v>
      </c>
      <c r="AZ13" s="122">
        <f t="shared" si="25"/>
        <v>0</v>
      </c>
      <c r="BA13" s="123">
        <f t="shared" si="26"/>
        <v>0</v>
      </c>
      <c r="BB13" s="122">
        <f t="shared" si="27"/>
        <v>178</v>
      </c>
      <c r="BC13" s="124">
        <f t="shared" si="28"/>
        <v>89.8876404494382</v>
      </c>
      <c r="BD13" s="124">
        <f t="shared" si="29"/>
        <v>100</v>
      </c>
      <c r="BE13" s="122">
        <f t="shared" si="30"/>
        <v>73</v>
      </c>
      <c r="BF13" s="123">
        <f t="shared" si="31"/>
        <v>41.0112359550562</v>
      </c>
      <c r="BG13" s="122">
        <f t="shared" si="32"/>
        <v>5380</v>
      </c>
      <c r="BH13" s="124">
        <f t="shared" si="33"/>
        <v>94.9256505576208</v>
      </c>
      <c r="BI13" s="124">
        <f t="shared" si="34"/>
        <v>98.4701492537313</v>
      </c>
      <c r="BJ13" s="122">
        <f t="shared" si="35"/>
        <v>2429</v>
      </c>
      <c r="BK13" s="123">
        <f t="shared" si="36"/>
        <v>45.1486988847584</v>
      </c>
    </row>
    <row r="14" ht="15.25" spans="2:63">
      <c r="B14" s="118" t="s">
        <v>19</v>
      </c>
      <c r="C14" s="119">
        <v>0</v>
      </c>
      <c r="D14" s="119">
        <v>0</v>
      </c>
      <c r="E14" s="119">
        <v>0</v>
      </c>
      <c r="F14" s="119">
        <v>0</v>
      </c>
      <c r="G14" s="119">
        <v>0</v>
      </c>
      <c r="H14" s="119">
        <v>0</v>
      </c>
      <c r="I14" s="119">
        <f t="shared" si="2"/>
        <v>0</v>
      </c>
      <c r="J14" s="119">
        <v>0</v>
      </c>
      <c r="K14" s="119">
        <f t="shared" si="4"/>
        <v>189</v>
      </c>
      <c r="L14" s="119">
        <f t="shared" si="5"/>
        <v>185</v>
      </c>
      <c r="M14" s="120">
        <f t="shared" si="6"/>
        <v>97.8835978835979</v>
      </c>
      <c r="N14" s="119">
        <f t="shared" ref="N14:P14" si="65">L41</f>
        <v>185</v>
      </c>
      <c r="O14" s="119">
        <f t="shared" si="65"/>
        <v>179</v>
      </c>
      <c r="P14" s="120">
        <f t="shared" si="65"/>
        <v>96.7567567567568</v>
      </c>
      <c r="Q14" s="119">
        <f t="shared" si="8"/>
        <v>89</v>
      </c>
      <c r="R14" s="120">
        <f t="shared" si="9"/>
        <v>47.0899470899471</v>
      </c>
      <c r="S14" s="119">
        <f t="shared" si="10"/>
        <v>4105</v>
      </c>
      <c r="T14" s="119">
        <f t="shared" si="11"/>
        <v>3918</v>
      </c>
      <c r="U14" s="120">
        <f t="shared" si="12"/>
        <v>95.4445797807552</v>
      </c>
      <c r="V14" s="119">
        <f t="shared" ref="V14:X14" si="66">R41</f>
        <v>4069</v>
      </c>
      <c r="W14" s="119">
        <f t="shared" si="66"/>
        <v>3440</v>
      </c>
      <c r="X14" s="120">
        <f t="shared" si="66"/>
        <v>84.5416564266405</v>
      </c>
      <c r="Y14" s="119">
        <f t="shared" si="14"/>
        <v>1832</v>
      </c>
      <c r="Z14" s="120">
        <f t="shared" si="15"/>
        <v>44.6285018270402</v>
      </c>
      <c r="AA14" s="119">
        <f t="shared" si="16"/>
        <v>8937</v>
      </c>
      <c r="AB14" s="119">
        <f t="shared" ref="AB14:AF14" si="67">V41</f>
        <v>8937</v>
      </c>
      <c r="AC14" s="120">
        <f t="shared" si="67"/>
        <v>100</v>
      </c>
      <c r="AD14" s="119">
        <f t="shared" si="67"/>
        <v>8831</v>
      </c>
      <c r="AE14" s="119">
        <f t="shared" si="67"/>
        <v>6191</v>
      </c>
      <c r="AF14" s="120">
        <f t="shared" si="67"/>
        <v>70.1053108368248</v>
      </c>
      <c r="AG14" s="119">
        <f t="shared" si="18"/>
        <v>3745</v>
      </c>
      <c r="AH14" s="120">
        <f t="shared" si="19"/>
        <v>41.904442206557</v>
      </c>
      <c r="AI14" s="119">
        <f t="shared" si="20"/>
        <v>28562</v>
      </c>
      <c r="AJ14" s="119">
        <f t="shared" ref="AJ14:AN14" si="68">AB41</f>
        <v>28562</v>
      </c>
      <c r="AK14" s="120">
        <f t="shared" si="68"/>
        <v>100</v>
      </c>
      <c r="AL14" s="119">
        <f t="shared" si="68"/>
        <v>27819</v>
      </c>
      <c r="AM14" s="119">
        <f t="shared" si="68"/>
        <v>10727</v>
      </c>
      <c r="AN14" s="120">
        <f t="shared" si="68"/>
        <v>38.5599769941407</v>
      </c>
      <c r="AO14" s="119">
        <f t="shared" si="22"/>
        <v>10864</v>
      </c>
      <c r="AP14" s="120">
        <f t="shared" si="23"/>
        <v>38.0365520621805</v>
      </c>
      <c r="AV14" s="121" t="s">
        <v>19</v>
      </c>
      <c r="AW14" s="122">
        <f t="shared" si="42"/>
        <v>0</v>
      </c>
      <c r="AX14" s="122">
        <f t="shared" si="43"/>
        <v>0</v>
      </c>
      <c r="AY14" s="122">
        <f t="shared" si="24"/>
        <v>0</v>
      </c>
      <c r="AZ14" s="122">
        <f t="shared" si="25"/>
        <v>0</v>
      </c>
      <c r="BA14" s="123">
        <f t="shared" si="26"/>
        <v>0</v>
      </c>
      <c r="BB14" s="122">
        <f t="shared" si="27"/>
        <v>189</v>
      </c>
      <c r="BC14" s="124">
        <f t="shared" si="28"/>
        <v>97.8835978835979</v>
      </c>
      <c r="BD14" s="124">
        <f t="shared" si="29"/>
        <v>96.7567567567568</v>
      </c>
      <c r="BE14" s="122">
        <f t="shared" si="30"/>
        <v>89</v>
      </c>
      <c r="BF14" s="123">
        <f t="shared" si="31"/>
        <v>47.0899470899471</v>
      </c>
      <c r="BG14" s="122">
        <f t="shared" si="32"/>
        <v>4105</v>
      </c>
      <c r="BH14" s="124">
        <f t="shared" si="33"/>
        <v>95.4445797807552</v>
      </c>
      <c r="BI14" s="124">
        <f t="shared" si="34"/>
        <v>84.5416564266405</v>
      </c>
      <c r="BJ14" s="122">
        <f t="shared" si="35"/>
        <v>1832</v>
      </c>
      <c r="BK14" s="123">
        <f t="shared" si="36"/>
        <v>44.6285018270402</v>
      </c>
    </row>
    <row r="15" ht="15.25" spans="2:63">
      <c r="B15" s="118" t="s">
        <v>20</v>
      </c>
      <c r="C15" s="119">
        <v>0</v>
      </c>
      <c r="D15" s="119">
        <v>0</v>
      </c>
      <c r="E15" s="119">
        <v>0</v>
      </c>
      <c r="F15" s="119">
        <v>0</v>
      </c>
      <c r="G15" s="119">
        <v>0</v>
      </c>
      <c r="H15" s="119">
        <v>0</v>
      </c>
      <c r="I15" s="119">
        <f t="shared" si="2"/>
        <v>0</v>
      </c>
      <c r="J15" s="119">
        <v>0</v>
      </c>
      <c r="K15" s="119">
        <f t="shared" si="4"/>
        <v>371</v>
      </c>
      <c r="L15" s="119">
        <f t="shared" si="5"/>
        <v>368</v>
      </c>
      <c r="M15" s="120">
        <f t="shared" si="6"/>
        <v>99.1913746630728</v>
      </c>
      <c r="N15" s="119">
        <f t="shared" ref="N15:P15" si="69">L42</f>
        <v>371</v>
      </c>
      <c r="O15" s="119">
        <f t="shared" si="69"/>
        <v>364</v>
      </c>
      <c r="P15" s="120">
        <f t="shared" si="69"/>
        <v>98.1132075471698</v>
      </c>
      <c r="Q15" s="119">
        <f t="shared" si="8"/>
        <v>137</v>
      </c>
      <c r="R15" s="120">
        <f t="shared" si="9"/>
        <v>36.9272237196765</v>
      </c>
      <c r="S15" s="119">
        <f t="shared" si="10"/>
        <v>4055</v>
      </c>
      <c r="T15" s="119">
        <f t="shared" si="11"/>
        <v>3906</v>
      </c>
      <c r="U15" s="120">
        <f t="shared" si="12"/>
        <v>96.3255240443896</v>
      </c>
      <c r="V15" s="119">
        <f t="shared" ref="V15:X15" si="70">R42</f>
        <v>4052</v>
      </c>
      <c r="W15" s="119">
        <f t="shared" si="70"/>
        <v>3777</v>
      </c>
      <c r="X15" s="120">
        <f t="shared" si="70"/>
        <v>93.213228035538</v>
      </c>
      <c r="Y15" s="119">
        <f t="shared" si="14"/>
        <v>1528</v>
      </c>
      <c r="Z15" s="120">
        <f t="shared" si="15"/>
        <v>37.6818742293465</v>
      </c>
      <c r="AA15" s="119">
        <f t="shared" si="16"/>
        <v>8820</v>
      </c>
      <c r="AB15" s="119">
        <f t="shared" ref="AB15:AF15" si="71">V42</f>
        <v>8820</v>
      </c>
      <c r="AC15" s="120">
        <f t="shared" si="71"/>
        <v>100</v>
      </c>
      <c r="AD15" s="119">
        <f t="shared" si="71"/>
        <v>8728</v>
      </c>
      <c r="AE15" s="119">
        <f t="shared" si="71"/>
        <v>3597</v>
      </c>
      <c r="AF15" s="120">
        <f t="shared" si="71"/>
        <v>41.2121906507791</v>
      </c>
      <c r="AG15" s="119">
        <f t="shared" si="18"/>
        <v>2973</v>
      </c>
      <c r="AH15" s="120">
        <f t="shared" si="19"/>
        <v>33.7074829931973</v>
      </c>
      <c r="AI15" s="119">
        <f t="shared" si="20"/>
        <v>20548</v>
      </c>
      <c r="AJ15" s="119">
        <f t="shared" ref="AJ15:AN15" si="72">AB42</f>
        <v>20548</v>
      </c>
      <c r="AK15" s="120">
        <f t="shared" si="72"/>
        <v>100</v>
      </c>
      <c r="AL15" s="119">
        <f t="shared" si="72"/>
        <v>20107</v>
      </c>
      <c r="AM15" s="119">
        <f t="shared" si="72"/>
        <v>3723</v>
      </c>
      <c r="AN15" s="120">
        <f t="shared" si="72"/>
        <v>18.5159397224847</v>
      </c>
      <c r="AO15" s="119">
        <f t="shared" si="22"/>
        <v>6254</v>
      </c>
      <c r="AP15" s="120">
        <f t="shared" si="23"/>
        <v>30.4360521705275</v>
      </c>
      <c r="AV15" s="121" t="s">
        <v>20</v>
      </c>
      <c r="AW15" s="122">
        <f t="shared" si="42"/>
        <v>0</v>
      </c>
      <c r="AX15" s="122">
        <f t="shared" si="43"/>
        <v>0</v>
      </c>
      <c r="AY15" s="122">
        <f t="shared" si="24"/>
        <v>0</v>
      </c>
      <c r="AZ15" s="122">
        <f t="shared" si="25"/>
        <v>0</v>
      </c>
      <c r="BA15" s="123">
        <f t="shared" si="26"/>
        <v>0</v>
      </c>
      <c r="BB15" s="122">
        <f t="shared" si="27"/>
        <v>371</v>
      </c>
      <c r="BC15" s="124">
        <f t="shared" si="28"/>
        <v>99.1913746630728</v>
      </c>
      <c r="BD15" s="124">
        <f t="shared" si="29"/>
        <v>98.1132075471698</v>
      </c>
      <c r="BE15" s="122">
        <f t="shared" si="30"/>
        <v>137</v>
      </c>
      <c r="BF15" s="123">
        <f t="shared" si="31"/>
        <v>36.9272237196765</v>
      </c>
      <c r="BG15" s="122">
        <f t="shared" si="32"/>
        <v>4055</v>
      </c>
      <c r="BH15" s="124">
        <f t="shared" si="33"/>
        <v>96.3255240443896</v>
      </c>
      <c r="BI15" s="124">
        <f t="shared" si="34"/>
        <v>93.213228035538</v>
      </c>
      <c r="BJ15" s="122">
        <f t="shared" si="35"/>
        <v>1528</v>
      </c>
      <c r="BK15" s="123">
        <f t="shared" si="36"/>
        <v>37.6818742293465</v>
      </c>
    </row>
    <row r="16" ht="15.25" spans="2:63">
      <c r="B16" s="111" t="s">
        <v>21</v>
      </c>
      <c r="C16" s="112">
        <v>0</v>
      </c>
      <c r="D16" s="112">
        <v>0</v>
      </c>
      <c r="E16" s="112">
        <v>0</v>
      </c>
      <c r="F16" s="112">
        <v>0</v>
      </c>
      <c r="G16" s="112">
        <v>0</v>
      </c>
      <c r="H16" s="112">
        <v>0</v>
      </c>
      <c r="I16" s="112">
        <f t="shared" si="2"/>
        <v>0</v>
      </c>
      <c r="J16" s="112">
        <v>0</v>
      </c>
      <c r="K16" s="112">
        <f t="shared" si="4"/>
        <v>173</v>
      </c>
      <c r="L16" s="112">
        <f t="shared" si="5"/>
        <v>171</v>
      </c>
      <c r="M16" s="116">
        <f t="shared" si="6"/>
        <v>98.8439306358381</v>
      </c>
      <c r="N16" s="112">
        <f t="shared" ref="N16:P16" si="73">L43</f>
        <v>173</v>
      </c>
      <c r="O16" s="112">
        <f t="shared" si="73"/>
        <v>154</v>
      </c>
      <c r="P16" s="116">
        <f t="shared" si="73"/>
        <v>89.0173410404624</v>
      </c>
      <c r="Q16" s="112">
        <f t="shared" si="8"/>
        <v>68</v>
      </c>
      <c r="R16" s="116">
        <f t="shared" si="9"/>
        <v>39.3063583815029</v>
      </c>
      <c r="S16" s="112">
        <f t="shared" si="10"/>
        <v>2412</v>
      </c>
      <c r="T16" s="112">
        <f t="shared" si="11"/>
        <v>2342</v>
      </c>
      <c r="U16" s="116">
        <f t="shared" si="12"/>
        <v>97.0978441127695</v>
      </c>
      <c r="V16" s="112">
        <f t="shared" ref="V16:X16" si="74">R43</f>
        <v>2404</v>
      </c>
      <c r="W16" s="112">
        <f t="shared" si="74"/>
        <v>1904</v>
      </c>
      <c r="X16" s="116">
        <f t="shared" si="74"/>
        <v>79.2013311148087</v>
      </c>
      <c r="Y16" s="112">
        <f t="shared" si="14"/>
        <v>950</v>
      </c>
      <c r="Z16" s="116">
        <f t="shared" si="15"/>
        <v>39.3864013266998</v>
      </c>
      <c r="AA16" s="112">
        <f t="shared" si="16"/>
        <v>7816</v>
      </c>
      <c r="AB16" s="112">
        <f t="shared" ref="AB16:AF16" si="75">V43</f>
        <v>7816</v>
      </c>
      <c r="AC16" s="116">
        <f t="shared" si="75"/>
        <v>100</v>
      </c>
      <c r="AD16" s="112">
        <f t="shared" si="75"/>
        <v>7711</v>
      </c>
      <c r="AE16" s="112">
        <f t="shared" si="75"/>
        <v>2989</v>
      </c>
      <c r="AF16" s="116">
        <f t="shared" si="75"/>
        <v>38.7628063804954</v>
      </c>
      <c r="AG16" s="112">
        <f t="shared" si="18"/>
        <v>3006</v>
      </c>
      <c r="AH16" s="113">
        <f t="shared" si="19"/>
        <v>38.4595701125896</v>
      </c>
      <c r="AI16" s="112">
        <f t="shared" si="20"/>
        <v>11964</v>
      </c>
      <c r="AJ16" s="112">
        <f t="shared" ref="AJ16:AN16" si="76">AB43</f>
        <v>11964</v>
      </c>
      <c r="AK16" s="116">
        <f t="shared" si="76"/>
        <v>100</v>
      </c>
      <c r="AL16" s="112">
        <f t="shared" si="76"/>
        <v>11609</v>
      </c>
      <c r="AM16" s="112">
        <f t="shared" si="76"/>
        <v>825</v>
      </c>
      <c r="AN16" s="116">
        <f t="shared" si="76"/>
        <v>7.10655525885089</v>
      </c>
      <c r="AO16" s="112">
        <f t="shared" si="22"/>
        <v>3426</v>
      </c>
      <c r="AP16" s="113">
        <f t="shared" si="23"/>
        <v>28.6359077231695</v>
      </c>
      <c r="AV16" s="30" t="s">
        <v>21</v>
      </c>
      <c r="AW16" s="31">
        <f t="shared" si="42"/>
        <v>0</v>
      </c>
      <c r="AX16" s="31">
        <f t="shared" si="43"/>
        <v>0</v>
      </c>
      <c r="AY16" s="31">
        <f t="shared" si="24"/>
        <v>0</v>
      </c>
      <c r="AZ16" s="31">
        <f t="shared" si="25"/>
        <v>0</v>
      </c>
      <c r="BA16" s="117">
        <f t="shared" si="26"/>
        <v>0</v>
      </c>
      <c r="BB16" s="31">
        <f t="shared" si="27"/>
        <v>173</v>
      </c>
      <c r="BC16" s="32">
        <f t="shared" si="28"/>
        <v>98.8439306358381</v>
      </c>
      <c r="BD16" s="32">
        <f t="shared" si="29"/>
        <v>89.0173410404624</v>
      </c>
      <c r="BE16" s="31">
        <f t="shared" si="30"/>
        <v>68</v>
      </c>
      <c r="BF16" s="117">
        <f t="shared" si="31"/>
        <v>39.3063583815029</v>
      </c>
      <c r="BG16" s="31">
        <f t="shared" si="32"/>
        <v>2412</v>
      </c>
      <c r="BH16" s="32">
        <f t="shared" si="33"/>
        <v>97.0978441127695</v>
      </c>
      <c r="BI16" s="32">
        <f t="shared" si="34"/>
        <v>79.2013311148087</v>
      </c>
      <c r="BJ16" s="31">
        <f t="shared" si="35"/>
        <v>950</v>
      </c>
      <c r="BK16" s="117">
        <f t="shared" si="36"/>
        <v>39.3864013266998</v>
      </c>
    </row>
    <row r="17" ht="15.25" spans="2:63">
      <c r="B17" s="111" t="s">
        <v>22</v>
      </c>
      <c r="C17" s="112">
        <v>0</v>
      </c>
      <c r="D17" s="112">
        <v>0</v>
      </c>
      <c r="E17" s="112">
        <v>0</v>
      </c>
      <c r="F17" s="112">
        <v>0</v>
      </c>
      <c r="G17" s="112">
        <v>0</v>
      </c>
      <c r="H17" s="112">
        <v>0</v>
      </c>
      <c r="I17" s="112">
        <f t="shared" si="2"/>
        <v>0</v>
      </c>
      <c r="J17" s="112">
        <v>0</v>
      </c>
      <c r="K17" s="112">
        <f t="shared" si="4"/>
        <v>62</v>
      </c>
      <c r="L17" s="112">
        <f t="shared" si="5"/>
        <v>53</v>
      </c>
      <c r="M17" s="116">
        <f t="shared" si="6"/>
        <v>85.4838709677419</v>
      </c>
      <c r="N17" s="112">
        <f t="shared" ref="N17:P17" si="77">L44</f>
        <v>62</v>
      </c>
      <c r="O17" s="112">
        <f t="shared" si="77"/>
        <v>62</v>
      </c>
      <c r="P17" s="116">
        <f t="shared" si="77"/>
        <v>100</v>
      </c>
      <c r="Q17" s="112">
        <f t="shared" si="8"/>
        <v>25</v>
      </c>
      <c r="R17" s="116">
        <f t="shared" si="9"/>
        <v>40.3225806451613</v>
      </c>
      <c r="S17" s="112">
        <f t="shared" si="10"/>
        <v>1387</v>
      </c>
      <c r="T17" s="112">
        <f t="shared" si="11"/>
        <v>1013</v>
      </c>
      <c r="U17" s="116">
        <f t="shared" si="12"/>
        <v>73.0353280461428</v>
      </c>
      <c r="V17" s="112">
        <f t="shared" ref="V17:X17" si="78">R44</f>
        <v>1384</v>
      </c>
      <c r="W17" s="112">
        <f t="shared" si="78"/>
        <v>1333</v>
      </c>
      <c r="X17" s="116">
        <f t="shared" si="78"/>
        <v>96.3150289017341</v>
      </c>
      <c r="Y17" s="112">
        <f t="shared" si="14"/>
        <v>462</v>
      </c>
      <c r="Z17" s="116">
        <f t="shared" si="15"/>
        <v>33.3093006488825</v>
      </c>
      <c r="AA17" s="112">
        <f t="shared" si="16"/>
        <v>5277</v>
      </c>
      <c r="AB17" s="112">
        <f t="shared" ref="AB17:AF17" si="79">V44</f>
        <v>5277</v>
      </c>
      <c r="AC17" s="116">
        <f t="shared" si="79"/>
        <v>100</v>
      </c>
      <c r="AD17" s="112">
        <f t="shared" si="79"/>
        <v>5139</v>
      </c>
      <c r="AE17" s="112">
        <f t="shared" si="79"/>
        <v>3352</v>
      </c>
      <c r="AF17" s="116">
        <f t="shared" si="79"/>
        <v>65.2266978011286</v>
      </c>
      <c r="AG17" s="112">
        <f t="shared" si="18"/>
        <v>2038</v>
      </c>
      <c r="AH17" s="113">
        <f t="shared" si="19"/>
        <v>38.6204282736403</v>
      </c>
      <c r="AI17" s="112">
        <f t="shared" si="20"/>
        <v>9132</v>
      </c>
      <c r="AJ17" s="112">
        <f t="shared" ref="AJ17:AN17" si="80">AB44</f>
        <v>9132</v>
      </c>
      <c r="AK17" s="116">
        <f t="shared" si="80"/>
        <v>100</v>
      </c>
      <c r="AL17" s="112">
        <f t="shared" si="80"/>
        <v>8625</v>
      </c>
      <c r="AM17" s="112">
        <f t="shared" si="80"/>
        <v>2076</v>
      </c>
      <c r="AN17" s="116">
        <f t="shared" si="80"/>
        <v>24.0695652173913</v>
      </c>
      <c r="AO17" s="112">
        <f t="shared" si="22"/>
        <v>2756</v>
      </c>
      <c r="AP17" s="113">
        <f t="shared" si="23"/>
        <v>30.17958826106</v>
      </c>
      <c r="AV17" s="30" t="s">
        <v>22</v>
      </c>
      <c r="AW17" s="31">
        <f t="shared" si="42"/>
        <v>0</v>
      </c>
      <c r="AX17" s="31">
        <f t="shared" si="43"/>
        <v>0</v>
      </c>
      <c r="AY17" s="31">
        <f t="shared" si="24"/>
        <v>0</v>
      </c>
      <c r="AZ17" s="31">
        <f t="shared" si="25"/>
        <v>0</v>
      </c>
      <c r="BA17" s="117">
        <f t="shared" si="26"/>
        <v>0</v>
      </c>
      <c r="BB17" s="31">
        <f t="shared" si="27"/>
        <v>62</v>
      </c>
      <c r="BC17" s="32">
        <f t="shared" si="28"/>
        <v>85.4838709677419</v>
      </c>
      <c r="BD17" s="32">
        <f t="shared" si="29"/>
        <v>100</v>
      </c>
      <c r="BE17" s="31">
        <f t="shared" si="30"/>
        <v>25</v>
      </c>
      <c r="BF17" s="117">
        <f t="shared" si="31"/>
        <v>40.3225806451613</v>
      </c>
      <c r="BG17" s="31">
        <f t="shared" si="32"/>
        <v>1387</v>
      </c>
      <c r="BH17" s="32">
        <f t="shared" si="33"/>
        <v>73.0353280461428</v>
      </c>
      <c r="BI17" s="32">
        <f t="shared" si="34"/>
        <v>96.3150289017341</v>
      </c>
      <c r="BJ17" s="31">
        <f t="shared" si="35"/>
        <v>462</v>
      </c>
      <c r="BK17" s="117">
        <f t="shared" si="36"/>
        <v>33.3093006488825</v>
      </c>
    </row>
    <row r="18" ht="15.25" spans="2:63">
      <c r="B18" s="111" t="s">
        <v>23</v>
      </c>
      <c r="C18" s="112">
        <v>0</v>
      </c>
      <c r="D18" s="112">
        <v>0</v>
      </c>
      <c r="E18" s="112">
        <v>0</v>
      </c>
      <c r="F18" s="112">
        <v>0</v>
      </c>
      <c r="G18" s="112">
        <v>0</v>
      </c>
      <c r="H18" s="112">
        <v>0</v>
      </c>
      <c r="I18" s="112">
        <f t="shared" si="2"/>
        <v>0</v>
      </c>
      <c r="J18" s="112">
        <v>0</v>
      </c>
      <c r="K18" s="112">
        <f t="shared" si="4"/>
        <v>44</v>
      </c>
      <c r="L18" s="112">
        <f t="shared" si="5"/>
        <v>44</v>
      </c>
      <c r="M18" s="116">
        <f t="shared" si="6"/>
        <v>100</v>
      </c>
      <c r="N18" s="112">
        <f t="shared" ref="N18:P18" si="81">L45</f>
        <v>44</v>
      </c>
      <c r="O18" s="112">
        <f t="shared" si="81"/>
        <v>44</v>
      </c>
      <c r="P18" s="116">
        <f t="shared" si="81"/>
        <v>100</v>
      </c>
      <c r="Q18" s="112">
        <f t="shared" si="8"/>
        <v>27</v>
      </c>
      <c r="R18" s="116">
        <f t="shared" si="9"/>
        <v>61.3636363636364</v>
      </c>
      <c r="S18" s="112">
        <f t="shared" si="10"/>
        <v>1049</v>
      </c>
      <c r="T18" s="112">
        <f t="shared" si="11"/>
        <v>989</v>
      </c>
      <c r="U18" s="116">
        <f t="shared" si="12"/>
        <v>94.280266920877</v>
      </c>
      <c r="V18" s="112">
        <f t="shared" ref="V18:X18" si="82">R45</f>
        <v>1024</v>
      </c>
      <c r="W18" s="112">
        <f t="shared" si="82"/>
        <v>912</v>
      </c>
      <c r="X18" s="116">
        <f t="shared" si="82"/>
        <v>89.0625</v>
      </c>
      <c r="Y18" s="112">
        <f t="shared" si="14"/>
        <v>419</v>
      </c>
      <c r="Z18" s="116">
        <f t="shared" si="15"/>
        <v>39.9428026692088</v>
      </c>
      <c r="AA18" s="112">
        <f t="shared" si="16"/>
        <v>3015</v>
      </c>
      <c r="AB18" s="112">
        <f t="shared" ref="AB18:AF18" si="83">V45</f>
        <v>3015</v>
      </c>
      <c r="AC18" s="116">
        <f t="shared" si="83"/>
        <v>100</v>
      </c>
      <c r="AD18" s="112">
        <f t="shared" si="83"/>
        <v>2894</v>
      </c>
      <c r="AE18" s="112">
        <f t="shared" si="83"/>
        <v>1161</v>
      </c>
      <c r="AF18" s="116">
        <f t="shared" si="83"/>
        <v>40.1174844505874</v>
      </c>
      <c r="AG18" s="112">
        <f t="shared" si="18"/>
        <v>1215</v>
      </c>
      <c r="AH18" s="113">
        <f t="shared" si="19"/>
        <v>40.2985074626866</v>
      </c>
      <c r="AI18" s="112">
        <f t="shared" si="20"/>
        <v>5621</v>
      </c>
      <c r="AJ18" s="112">
        <f t="shared" ref="AJ18:AN18" si="84">AB45</f>
        <v>5621</v>
      </c>
      <c r="AK18" s="116">
        <f t="shared" si="84"/>
        <v>100</v>
      </c>
      <c r="AL18" s="112">
        <f t="shared" si="84"/>
        <v>5320</v>
      </c>
      <c r="AM18" s="112">
        <f t="shared" si="84"/>
        <v>516</v>
      </c>
      <c r="AN18" s="116">
        <f t="shared" si="84"/>
        <v>9.69924812030075</v>
      </c>
      <c r="AO18" s="112">
        <f t="shared" si="22"/>
        <v>2092</v>
      </c>
      <c r="AP18" s="113">
        <f t="shared" si="23"/>
        <v>37.2175769436043</v>
      </c>
      <c r="AV18" s="30" t="s">
        <v>23</v>
      </c>
      <c r="AW18" s="31">
        <f t="shared" si="42"/>
        <v>0</v>
      </c>
      <c r="AX18" s="31">
        <f t="shared" si="43"/>
        <v>0</v>
      </c>
      <c r="AY18" s="31">
        <f t="shared" si="24"/>
        <v>0</v>
      </c>
      <c r="AZ18" s="31">
        <f t="shared" si="25"/>
        <v>0</v>
      </c>
      <c r="BA18" s="117">
        <f t="shared" si="26"/>
        <v>0</v>
      </c>
      <c r="BB18" s="31">
        <f t="shared" si="27"/>
        <v>44</v>
      </c>
      <c r="BC18" s="32">
        <f t="shared" si="28"/>
        <v>100</v>
      </c>
      <c r="BD18" s="32">
        <f t="shared" si="29"/>
        <v>100</v>
      </c>
      <c r="BE18" s="31">
        <f t="shared" si="30"/>
        <v>27</v>
      </c>
      <c r="BF18" s="117">
        <f t="shared" si="31"/>
        <v>61.3636363636364</v>
      </c>
      <c r="BG18" s="31">
        <f t="shared" si="32"/>
        <v>1049</v>
      </c>
      <c r="BH18" s="32">
        <f t="shared" si="33"/>
        <v>94.280266920877</v>
      </c>
      <c r="BI18" s="32">
        <f t="shared" si="34"/>
        <v>89.0625</v>
      </c>
      <c r="BJ18" s="31">
        <f t="shared" si="35"/>
        <v>419</v>
      </c>
      <c r="BK18" s="117">
        <f t="shared" si="36"/>
        <v>39.9428026692088</v>
      </c>
    </row>
    <row r="19" ht="15.25" spans="2:63">
      <c r="B19" s="111" t="s">
        <v>24</v>
      </c>
      <c r="C19" s="112">
        <v>0</v>
      </c>
      <c r="D19" s="112">
        <v>0</v>
      </c>
      <c r="E19" s="112">
        <v>0</v>
      </c>
      <c r="F19" s="112">
        <v>0</v>
      </c>
      <c r="G19" s="112">
        <v>0</v>
      </c>
      <c r="H19" s="112">
        <v>0</v>
      </c>
      <c r="I19" s="112">
        <f t="shared" si="2"/>
        <v>0</v>
      </c>
      <c r="J19" s="112">
        <v>0</v>
      </c>
      <c r="K19" s="112">
        <f t="shared" si="4"/>
        <v>11</v>
      </c>
      <c r="L19" s="112">
        <f t="shared" si="5"/>
        <v>11</v>
      </c>
      <c r="M19" s="116">
        <f t="shared" si="6"/>
        <v>100</v>
      </c>
      <c r="N19" s="112">
        <f t="shared" ref="N19:P19" si="85">L46</f>
        <v>11</v>
      </c>
      <c r="O19" s="112">
        <f t="shared" si="85"/>
        <v>11</v>
      </c>
      <c r="P19" s="116">
        <f t="shared" si="85"/>
        <v>100</v>
      </c>
      <c r="Q19" s="112">
        <f t="shared" si="8"/>
        <v>3</v>
      </c>
      <c r="R19" s="116">
        <f t="shared" si="9"/>
        <v>27.2727272727273</v>
      </c>
      <c r="S19" s="112">
        <f t="shared" si="10"/>
        <v>622</v>
      </c>
      <c r="T19" s="112">
        <f t="shared" si="11"/>
        <v>603</v>
      </c>
      <c r="U19" s="116">
        <f t="shared" si="12"/>
        <v>96.9453376205788</v>
      </c>
      <c r="V19" s="112">
        <f t="shared" ref="V19:X19" si="86">R46</f>
        <v>620</v>
      </c>
      <c r="W19" s="112">
        <f t="shared" si="86"/>
        <v>608</v>
      </c>
      <c r="X19" s="116">
        <f t="shared" si="86"/>
        <v>98.0645161290323</v>
      </c>
      <c r="Y19" s="112">
        <f t="shared" si="14"/>
        <v>217</v>
      </c>
      <c r="Z19" s="116">
        <f t="shared" si="15"/>
        <v>34.887459807074</v>
      </c>
      <c r="AA19" s="112">
        <f t="shared" si="16"/>
        <v>3322</v>
      </c>
      <c r="AB19" s="112">
        <f t="shared" ref="AB19:AF19" si="87">V46</f>
        <v>3322</v>
      </c>
      <c r="AC19" s="116">
        <f t="shared" si="87"/>
        <v>100</v>
      </c>
      <c r="AD19" s="112">
        <f t="shared" si="87"/>
        <v>3246</v>
      </c>
      <c r="AE19" s="112">
        <f t="shared" si="87"/>
        <v>1300</v>
      </c>
      <c r="AF19" s="116">
        <f t="shared" si="87"/>
        <v>40.0492914356131</v>
      </c>
      <c r="AG19" s="112">
        <f t="shared" si="18"/>
        <v>1277</v>
      </c>
      <c r="AH19" s="113">
        <f t="shared" si="19"/>
        <v>38.4406983744732</v>
      </c>
      <c r="AI19" s="112">
        <f t="shared" si="20"/>
        <v>6592</v>
      </c>
      <c r="AJ19" s="112">
        <f t="shared" ref="AJ19:AN19" si="88">AB46</f>
        <v>6592</v>
      </c>
      <c r="AK19" s="116">
        <f t="shared" si="88"/>
        <v>100</v>
      </c>
      <c r="AL19" s="112">
        <f t="shared" si="88"/>
        <v>6165</v>
      </c>
      <c r="AM19" s="112">
        <f t="shared" si="88"/>
        <v>713</v>
      </c>
      <c r="AN19" s="116">
        <f t="shared" si="88"/>
        <v>11.5652879156529</v>
      </c>
      <c r="AO19" s="112">
        <f t="shared" si="22"/>
        <v>2046</v>
      </c>
      <c r="AP19" s="113">
        <f t="shared" si="23"/>
        <v>31.0376213592233</v>
      </c>
      <c r="AV19" s="30" t="s">
        <v>24</v>
      </c>
      <c r="AW19" s="31">
        <f t="shared" si="42"/>
        <v>0</v>
      </c>
      <c r="AX19" s="31">
        <f t="shared" si="43"/>
        <v>0</v>
      </c>
      <c r="AY19" s="31">
        <f t="shared" si="24"/>
        <v>0</v>
      </c>
      <c r="AZ19" s="31">
        <f t="shared" si="25"/>
        <v>0</v>
      </c>
      <c r="BA19" s="117">
        <f t="shared" si="26"/>
        <v>0</v>
      </c>
      <c r="BB19" s="31">
        <f t="shared" si="27"/>
        <v>11</v>
      </c>
      <c r="BC19" s="32">
        <f t="shared" si="28"/>
        <v>100</v>
      </c>
      <c r="BD19" s="32">
        <f t="shared" si="29"/>
        <v>100</v>
      </c>
      <c r="BE19" s="31">
        <f t="shared" si="30"/>
        <v>3</v>
      </c>
      <c r="BF19" s="117">
        <f t="shared" si="31"/>
        <v>27.2727272727273</v>
      </c>
      <c r="BG19" s="31">
        <f t="shared" si="32"/>
        <v>622</v>
      </c>
      <c r="BH19" s="32">
        <f t="shared" si="33"/>
        <v>96.9453376205788</v>
      </c>
      <c r="BI19" s="32">
        <f t="shared" si="34"/>
        <v>98.0645161290323</v>
      </c>
      <c r="BJ19" s="31">
        <f t="shared" si="35"/>
        <v>217</v>
      </c>
      <c r="BK19" s="117">
        <f t="shared" si="36"/>
        <v>34.887459807074</v>
      </c>
    </row>
    <row r="20" ht="15.25" spans="2:63">
      <c r="B20" s="118" t="s">
        <v>25</v>
      </c>
      <c r="C20" s="119">
        <v>0</v>
      </c>
      <c r="D20" s="119">
        <v>0</v>
      </c>
      <c r="E20" s="119">
        <v>0</v>
      </c>
      <c r="F20" s="119">
        <v>0</v>
      </c>
      <c r="G20" s="119">
        <v>0</v>
      </c>
      <c r="H20" s="119">
        <v>0</v>
      </c>
      <c r="I20" s="119">
        <f t="shared" si="2"/>
        <v>0</v>
      </c>
      <c r="J20" s="119">
        <v>0</v>
      </c>
      <c r="K20" s="119">
        <f t="shared" si="4"/>
        <v>39</v>
      </c>
      <c r="L20" s="119">
        <f t="shared" si="5"/>
        <v>37</v>
      </c>
      <c r="M20" s="120">
        <f t="shared" si="6"/>
        <v>94.8717948717949</v>
      </c>
      <c r="N20" s="119">
        <f t="shared" ref="N20:P20" si="89">L47</f>
        <v>39</v>
      </c>
      <c r="O20" s="119">
        <f t="shared" si="89"/>
        <v>39</v>
      </c>
      <c r="P20" s="120">
        <f t="shared" si="89"/>
        <v>100</v>
      </c>
      <c r="Q20" s="119">
        <f t="shared" si="8"/>
        <v>16</v>
      </c>
      <c r="R20" s="120">
        <f t="shared" si="9"/>
        <v>41.025641025641</v>
      </c>
      <c r="S20" s="119">
        <f t="shared" si="10"/>
        <v>1316</v>
      </c>
      <c r="T20" s="119">
        <f t="shared" si="11"/>
        <v>1186</v>
      </c>
      <c r="U20" s="120">
        <f t="shared" si="12"/>
        <v>90.1215805471125</v>
      </c>
      <c r="V20" s="119">
        <f t="shared" ref="V20:X20" si="90">R47</f>
        <v>1308</v>
      </c>
      <c r="W20" s="119">
        <f t="shared" si="90"/>
        <v>1125</v>
      </c>
      <c r="X20" s="120">
        <f t="shared" si="90"/>
        <v>86.0091743119266</v>
      </c>
      <c r="Y20" s="119">
        <f t="shared" si="14"/>
        <v>489</v>
      </c>
      <c r="Z20" s="120">
        <f t="shared" si="15"/>
        <v>37.1580547112462</v>
      </c>
      <c r="AA20" s="119">
        <f t="shared" si="16"/>
        <v>8289</v>
      </c>
      <c r="AB20" s="119">
        <f t="shared" ref="AB20:AF20" si="91">V47</f>
        <v>8289</v>
      </c>
      <c r="AC20" s="120">
        <f t="shared" si="91"/>
        <v>100</v>
      </c>
      <c r="AD20" s="119">
        <f t="shared" si="91"/>
        <v>8047</v>
      </c>
      <c r="AE20" s="119">
        <f t="shared" si="91"/>
        <v>4291</v>
      </c>
      <c r="AF20" s="120">
        <f t="shared" si="91"/>
        <v>53.3242202062881</v>
      </c>
      <c r="AG20" s="119">
        <f t="shared" si="18"/>
        <v>3744</v>
      </c>
      <c r="AH20" s="120">
        <f t="shared" si="19"/>
        <v>45.1682953311618</v>
      </c>
      <c r="AI20" s="119">
        <f t="shared" si="20"/>
        <v>15778</v>
      </c>
      <c r="AJ20" s="119">
        <f t="shared" ref="AJ20:AN20" si="92">AB47</f>
        <v>15778</v>
      </c>
      <c r="AK20" s="120">
        <f t="shared" si="92"/>
        <v>100</v>
      </c>
      <c r="AL20" s="119">
        <f t="shared" si="92"/>
        <v>15426</v>
      </c>
      <c r="AM20" s="119">
        <f t="shared" si="92"/>
        <v>4457</v>
      </c>
      <c r="AN20" s="120">
        <f t="shared" si="92"/>
        <v>28.892778426034</v>
      </c>
      <c r="AO20" s="119">
        <f t="shared" si="22"/>
        <v>5194</v>
      </c>
      <c r="AP20" s="120">
        <f t="shared" si="23"/>
        <v>32.9192546583851</v>
      </c>
      <c r="AV20" s="121" t="s">
        <v>25</v>
      </c>
      <c r="AW20" s="122">
        <f t="shared" si="42"/>
        <v>0</v>
      </c>
      <c r="AX20" s="122">
        <f t="shared" si="43"/>
        <v>0</v>
      </c>
      <c r="AY20" s="122">
        <f t="shared" si="24"/>
        <v>0</v>
      </c>
      <c r="AZ20" s="122">
        <f t="shared" si="25"/>
        <v>0</v>
      </c>
      <c r="BA20" s="123">
        <f t="shared" si="26"/>
        <v>0</v>
      </c>
      <c r="BB20" s="122">
        <f t="shared" si="27"/>
        <v>39</v>
      </c>
      <c r="BC20" s="124">
        <f t="shared" si="28"/>
        <v>94.8717948717949</v>
      </c>
      <c r="BD20" s="124">
        <f t="shared" si="29"/>
        <v>100</v>
      </c>
      <c r="BE20" s="122">
        <f t="shared" si="30"/>
        <v>16</v>
      </c>
      <c r="BF20" s="123">
        <f t="shared" si="31"/>
        <v>41.025641025641</v>
      </c>
      <c r="BG20" s="122">
        <f t="shared" si="32"/>
        <v>1316</v>
      </c>
      <c r="BH20" s="124">
        <f t="shared" si="33"/>
        <v>90.1215805471125</v>
      </c>
      <c r="BI20" s="124">
        <f t="shared" si="34"/>
        <v>86.0091743119266</v>
      </c>
      <c r="BJ20" s="122">
        <f t="shared" si="35"/>
        <v>489</v>
      </c>
      <c r="BK20" s="123">
        <f t="shared" si="36"/>
        <v>37.1580547112462</v>
      </c>
    </row>
    <row r="21" ht="15.25" spans="2:63">
      <c r="B21" s="118" t="s">
        <v>26</v>
      </c>
      <c r="C21" s="119">
        <v>0</v>
      </c>
      <c r="D21" s="119">
        <v>0</v>
      </c>
      <c r="E21" s="119">
        <v>0</v>
      </c>
      <c r="F21" s="119">
        <v>0</v>
      </c>
      <c r="G21" s="119">
        <v>0</v>
      </c>
      <c r="H21" s="119">
        <v>0</v>
      </c>
      <c r="I21" s="119">
        <f t="shared" si="2"/>
        <v>0</v>
      </c>
      <c r="J21" s="119">
        <v>0</v>
      </c>
      <c r="K21" s="119">
        <f t="shared" si="4"/>
        <v>61</v>
      </c>
      <c r="L21" s="119">
        <f t="shared" si="5"/>
        <v>50</v>
      </c>
      <c r="M21" s="120">
        <f t="shared" si="6"/>
        <v>81.9672131147541</v>
      </c>
      <c r="N21" s="119">
        <f t="shared" ref="N21:P21" si="93">L48</f>
        <v>61</v>
      </c>
      <c r="O21" s="119">
        <f t="shared" si="93"/>
        <v>52</v>
      </c>
      <c r="P21" s="120">
        <f t="shared" si="93"/>
        <v>85.2459016393443</v>
      </c>
      <c r="Q21" s="119">
        <f t="shared" si="8"/>
        <v>16</v>
      </c>
      <c r="R21" s="120">
        <f t="shared" si="9"/>
        <v>26.2295081967213</v>
      </c>
      <c r="S21" s="119">
        <f t="shared" si="10"/>
        <v>1879</v>
      </c>
      <c r="T21" s="119">
        <f t="shared" si="11"/>
        <v>1522</v>
      </c>
      <c r="U21" s="120">
        <f t="shared" si="12"/>
        <v>81.0005321979776</v>
      </c>
      <c r="V21" s="119">
        <f t="shared" ref="V21:X21" si="94">R48</f>
        <v>1863</v>
      </c>
      <c r="W21" s="119">
        <f t="shared" si="94"/>
        <v>1081</v>
      </c>
      <c r="X21" s="120">
        <f t="shared" si="94"/>
        <v>58.0246913580247</v>
      </c>
      <c r="Y21" s="119">
        <f t="shared" si="14"/>
        <v>700</v>
      </c>
      <c r="Z21" s="120">
        <f t="shared" si="15"/>
        <v>37.2538584353379</v>
      </c>
      <c r="AA21" s="119">
        <f t="shared" si="16"/>
        <v>8149</v>
      </c>
      <c r="AB21" s="119">
        <f t="shared" ref="AB21:AF21" si="95">V48</f>
        <v>8149</v>
      </c>
      <c r="AC21" s="120">
        <f t="shared" si="95"/>
        <v>100</v>
      </c>
      <c r="AD21" s="119">
        <f t="shared" si="95"/>
        <v>7937</v>
      </c>
      <c r="AE21" s="119">
        <f t="shared" si="95"/>
        <v>2163</v>
      </c>
      <c r="AF21" s="120">
        <f t="shared" si="95"/>
        <v>27.2521103691571</v>
      </c>
      <c r="AG21" s="119">
        <f t="shared" si="18"/>
        <v>3330</v>
      </c>
      <c r="AH21" s="120">
        <f t="shared" si="19"/>
        <v>40.8639096821696</v>
      </c>
      <c r="AI21" s="119">
        <f t="shared" si="20"/>
        <v>14418</v>
      </c>
      <c r="AJ21" s="119">
        <f t="shared" ref="AJ21:AN21" si="96">AB48</f>
        <v>14418</v>
      </c>
      <c r="AK21" s="120">
        <f t="shared" si="96"/>
        <v>100</v>
      </c>
      <c r="AL21" s="119">
        <f t="shared" si="96"/>
        <v>13949</v>
      </c>
      <c r="AM21" s="119">
        <f t="shared" si="96"/>
        <v>1062</v>
      </c>
      <c r="AN21" s="120">
        <f t="shared" si="96"/>
        <v>7.61344899275934</v>
      </c>
      <c r="AO21" s="119">
        <f t="shared" si="22"/>
        <v>4475</v>
      </c>
      <c r="AP21" s="120">
        <f t="shared" si="23"/>
        <v>31.0375918990151</v>
      </c>
      <c r="AV21" s="121" t="s">
        <v>26</v>
      </c>
      <c r="AW21" s="122">
        <f t="shared" si="42"/>
        <v>0</v>
      </c>
      <c r="AX21" s="122">
        <f t="shared" si="43"/>
        <v>0</v>
      </c>
      <c r="AY21" s="122">
        <f t="shared" si="24"/>
        <v>0</v>
      </c>
      <c r="AZ21" s="122">
        <f t="shared" si="25"/>
        <v>0</v>
      </c>
      <c r="BA21" s="123">
        <f t="shared" si="26"/>
        <v>0</v>
      </c>
      <c r="BB21" s="122">
        <f t="shared" si="27"/>
        <v>61</v>
      </c>
      <c r="BC21" s="124">
        <f t="shared" si="28"/>
        <v>81.9672131147541</v>
      </c>
      <c r="BD21" s="124">
        <f t="shared" si="29"/>
        <v>85.2459016393443</v>
      </c>
      <c r="BE21" s="122">
        <f t="shared" si="30"/>
        <v>16</v>
      </c>
      <c r="BF21" s="123">
        <f t="shared" si="31"/>
        <v>26.2295081967213</v>
      </c>
      <c r="BG21" s="122">
        <f t="shared" si="32"/>
        <v>1879</v>
      </c>
      <c r="BH21" s="124">
        <f t="shared" si="33"/>
        <v>81.0005321979776</v>
      </c>
      <c r="BI21" s="124">
        <f t="shared" si="34"/>
        <v>58.0246913580247</v>
      </c>
      <c r="BJ21" s="122">
        <f t="shared" si="35"/>
        <v>700</v>
      </c>
      <c r="BK21" s="123">
        <f t="shared" si="36"/>
        <v>37.2538584353379</v>
      </c>
    </row>
    <row r="22" ht="15.25" spans="2:63">
      <c r="B22" s="118" t="s">
        <v>27</v>
      </c>
      <c r="C22" s="119">
        <v>0</v>
      </c>
      <c r="D22" s="119">
        <v>0</v>
      </c>
      <c r="E22" s="119">
        <v>0</v>
      </c>
      <c r="F22" s="119">
        <v>0</v>
      </c>
      <c r="G22" s="119">
        <v>0</v>
      </c>
      <c r="H22" s="119">
        <v>0</v>
      </c>
      <c r="I22" s="119">
        <f t="shared" si="2"/>
        <v>0</v>
      </c>
      <c r="J22" s="119">
        <v>0</v>
      </c>
      <c r="K22" s="119">
        <f t="shared" si="4"/>
        <v>24</v>
      </c>
      <c r="L22" s="119">
        <f t="shared" si="5"/>
        <v>18</v>
      </c>
      <c r="M22" s="120">
        <f t="shared" si="6"/>
        <v>75</v>
      </c>
      <c r="N22" s="119">
        <f t="shared" ref="N22:P22" si="97">L49</f>
        <v>24</v>
      </c>
      <c r="O22" s="119">
        <f t="shared" si="97"/>
        <v>24</v>
      </c>
      <c r="P22" s="120">
        <f t="shared" si="97"/>
        <v>100</v>
      </c>
      <c r="Q22" s="119">
        <f t="shared" si="8"/>
        <v>10</v>
      </c>
      <c r="R22" s="120">
        <f t="shared" si="9"/>
        <v>41.6666666666667</v>
      </c>
      <c r="S22" s="119">
        <f t="shared" si="10"/>
        <v>1311</v>
      </c>
      <c r="T22" s="119">
        <f t="shared" si="11"/>
        <v>1183</v>
      </c>
      <c r="U22" s="120">
        <f t="shared" si="12"/>
        <v>90.2364607170099</v>
      </c>
      <c r="V22" s="119">
        <f t="shared" ref="V22:X22" si="98">R49</f>
        <v>1307</v>
      </c>
      <c r="W22" s="119">
        <f t="shared" si="98"/>
        <v>1067</v>
      </c>
      <c r="X22" s="120">
        <f t="shared" si="98"/>
        <v>81.637337413925</v>
      </c>
      <c r="Y22" s="119">
        <f t="shared" si="14"/>
        <v>540</v>
      </c>
      <c r="Z22" s="120">
        <f t="shared" si="15"/>
        <v>41.1899313501144</v>
      </c>
      <c r="AA22" s="119">
        <f t="shared" si="16"/>
        <v>3787</v>
      </c>
      <c r="AB22" s="119">
        <f t="shared" ref="AB22:AF22" si="99">V49</f>
        <v>3787</v>
      </c>
      <c r="AC22" s="120">
        <f t="shared" si="99"/>
        <v>100</v>
      </c>
      <c r="AD22" s="119">
        <f t="shared" si="99"/>
        <v>3745</v>
      </c>
      <c r="AE22" s="119">
        <f t="shared" si="99"/>
        <v>2535</v>
      </c>
      <c r="AF22" s="120">
        <f t="shared" si="99"/>
        <v>67.6902536715621</v>
      </c>
      <c r="AG22" s="119">
        <f t="shared" si="18"/>
        <v>1508</v>
      </c>
      <c r="AH22" s="120">
        <f t="shared" si="19"/>
        <v>39.8204383416953</v>
      </c>
      <c r="AI22" s="119">
        <f t="shared" si="20"/>
        <v>9495</v>
      </c>
      <c r="AJ22" s="119">
        <f t="shared" ref="AJ22:AN22" si="100">AB49</f>
        <v>9495</v>
      </c>
      <c r="AK22" s="120">
        <f t="shared" si="100"/>
        <v>100</v>
      </c>
      <c r="AL22" s="119">
        <f t="shared" si="100"/>
        <v>9287</v>
      </c>
      <c r="AM22" s="119">
        <f t="shared" si="100"/>
        <v>4499</v>
      </c>
      <c r="AN22" s="120">
        <f t="shared" si="100"/>
        <v>48.444061591472</v>
      </c>
      <c r="AO22" s="119">
        <f t="shared" si="22"/>
        <v>3236</v>
      </c>
      <c r="AP22" s="120">
        <f t="shared" si="23"/>
        <v>34.0810953133228</v>
      </c>
      <c r="AV22" s="121" t="s">
        <v>27</v>
      </c>
      <c r="AW22" s="122">
        <f t="shared" si="42"/>
        <v>0</v>
      </c>
      <c r="AX22" s="122">
        <f t="shared" si="43"/>
        <v>0</v>
      </c>
      <c r="AY22" s="122">
        <f t="shared" si="24"/>
        <v>0</v>
      </c>
      <c r="AZ22" s="122">
        <f t="shared" si="25"/>
        <v>0</v>
      </c>
      <c r="BA22" s="123">
        <f t="shared" si="26"/>
        <v>0</v>
      </c>
      <c r="BB22" s="122">
        <f t="shared" si="27"/>
        <v>24</v>
      </c>
      <c r="BC22" s="124">
        <f t="shared" si="28"/>
        <v>75</v>
      </c>
      <c r="BD22" s="124">
        <f t="shared" si="29"/>
        <v>100</v>
      </c>
      <c r="BE22" s="122">
        <f t="shared" si="30"/>
        <v>10</v>
      </c>
      <c r="BF22" s="123">
        <f t="shared" si="31"/>
        <v>41.6666666666667</v>
      </c>
      <c r="BG22" s="122">
        <f t="shared" si="32"/>
        <v>1311</v>
      </c>
      <c r="BH22" s="124">
        <f t="shared" si="33"/>
        <v>90.2364607170099</v>
      </c>
      <c r="BI22" s="124">
        <f t="shared" si="34"/>
        <v>81.637337413925</v>
      </c>
      <c r="BJ22" s="122">
        <f t="shared" si="35"/>
        <v>540</v>
      </c>
      <c r="BK22" s="123">
        <f t="shared" si="36"/>
        <v>41.1899313501144</v>
      </c>
    </row>
    <row r="23" ht="15.25" spans="2:63">
      <c r="B23" s="118" t="s">
        <v>28</v>
      </c>
      <c r="C23" s="119">
        <v>0</v>
      </c>
      <c r="D23" s="119">
        <v>0</v>
      </c>
      <c r="E23" s="119">
        <v>0</v>
      </c>
      <c r="F23" s="119">
        <v>0</v>
      </c>
      <c r="G23" s="119">
        <v>0</v>
      </c>
      <c r="H23" s="119">
        <v>0</v>
      </c>
      <c r="I23" s="119">
        <f t="shared" si="2"/>
        <v>0</v>
      </c>
      <c r="J23" s="119">
        <v>0</v>
      </c>
      <c r="K23" s="119">
        <f t="shared" si="4"/>
        <v>38</v>
      </c>
      <c r="L23" s="119">
        <f t="shared" si="5"/>
        <v>35</v>
      </c>
      <c r="M23" s="120">
        <f t="shared" si="6"/>
        <v>92.1052631578947</v>
      </c>
      <c r="N23" s="119">
        <f t="shared" ref="N23:P23" si="101">L50</f>
        <v>38</v>
      </c>
      <c r="O23" s="119">
        <f t="shared" si="101"/>
        <v>38</v>
      </c>
      <c r="P23" s="120">
        <f t="shared" si="101"/>
        <v>100</v>
      </c>
      <c r="Q23" s="119">
        <f t="shared" si="8"/>
        <v>17</v>
      </c>
      <c r="R23" s="120">
        <f t="shared" si="9"/>
        <v>44.7368421052632</v>
      </c>
      <c r="S23" s="119">
        <f t="shared" si="10"/>
        <v>989</v>
      </c>
      <c r="T23" s="119">
        <f t="shared" si="11"/>
        <v>941</v>
      </c>
      <c r="U23" s="120">
        <f t="shared" si="12"/>
        <v>95.1466127401416</v>
      </c>
      <c r="V23" s="119">
        <f t="shared" ref="V23:X23" si="102">R50</f>
        <v>989</v>
      </c>
      <c r="W23" s="119">
        <f t="shared" si="102"/>
        <v>854</v>
      </c>
      <c r="X23" s="120">
        <f t="shared" si="102"/>
        <v>86.3498483316481</v>
      </c>
      <c r="Y23" s="119">
        <f t="shared" si="14"/>
        <v>422</v>
      </c>
      <c r="Z23" s="120">
        <f t="shared" si="15"/>
        <v>42.6693629929221</v>
      </c>
      <c r="AA23" s="119">
        <f t="shared" si="16"/>
        <v>3333</v>
      </c>
      <c r="AB23" s="119">
        <f t="shared" ref="AB23:AF23" si="103">V50</f>
        <v>3333</v>
      </c>
      <c r="AC23" s="120">
        <f t="shared" si="103"/>
        <v>100</v>
      </c>
      <c r="AD23" s="119">
        <f t="shared" si="103"/>
        <v>3285</v>
      </c>
      <c r="AE23" s="119">
        <f t="shared" si="103"/>
        <v>1178</v>
      </c>
      <c r="AF23" s="120">
        <f t="shared" si="103"/>
        <v>35.8599695585997</v>
      </c>
      <c r="AG23" s="119">
        <f t="shared" si="18"/>
        <v>1404</v>
      </c>
      <c r="AH23" s="120">
        <f t="shared" si="19"/>
        <v>42.1242124212421</v>
      </c>
      <c r="AI23" s="119">
        <f t="shared" si="20"/>
        <v>7491</v>
      </c>
      <c r="AJ23" s="119">
        <f>AB50</f>
        <v>7491</v>
      </c>
      <c r="AK23" s="120">
        <f t="shared" ref="AJ23:AN23" si="104">AC50</f>
        <v>100</v>
      </c>
      <c r="AL23" s="119">
        <f t="shared" si="104"/>
        <v>7296</v>
      </c>
      <c r="AM23" s="119">
        <f t="shared" si="104"/>
        <v>616</v>
      </c>
      <c r="AN23" s="120">
        <f t="shared" si="104"/>
        <v>8.44298245614035</v>
      </c>
      <c r="AO23" s="119">
        <f t="shared" si="22"/>
        <v>2865</v>
      </c>
      <c r="AP23" s="120">
        <f t="shared" si="23"/>
        <v>38.2458950740889</v>
      </c>
      <c r="AV23" s="121" t="s">
        <v>28</v>
      </c>
      <c r="AW23" s="122">
        <f t="shared" si="42"/>
        <v>0</v>
      </c>
      <c r="AX23" s="122">
        <f t="shared" si="43"/>
        <v>0</v>
      </c>
      <c r="AY23" s="122">
        <f t="shared" si="24"/>
        <v>0</v>
      </c>
      <c r="AZ23" s="122">
        <f t="shared" si="25"/>
        <v>0</v>
      </c>
      <c r="BA23" s="123">
        <f t="shared" si="26"/>
        <v>0</v>
      </c>
      <c r="BB23" s="122">
        <f t="shared" si="27"/>
        <v>38</v>
      </c>
      <c r="BC23" s="124">
        <f t="shared" si="28"/>
        <v>92.1052631578947</v>
      </c>
      <c r="BD23" s="124">
        <f t="shared" si="29"/>
        <v>100</v>
      </c>
      <c r="BE23" s="122">
        <f t="shared" si="30"/>
        <v>17</v>
      </c>
      <c r="BF23" s="123">
        <f t="shared" si="31"/>
        <v>44.7368421052632</v>
      </c>
      <c r="BG23" s="122">
        <f t="shared" si="32"/>
        <v>989</v>
      </c>
      <c r="BH23" s="124">
        <f t="shared" si="33"/>
        <v>95.1466127401416</v>
      </c>
      <c r="BI23" s="124">
        <f t="shared" si="34"/>
        <v>86.3498483316481</v>
      </c>
      <c r="BJ23" s="122">
        <f t="shared" si="35"/>
        <v>422</v>
      </c>
      <c r="BK23" s="123">
        <f t="shared" si="36"/>
        <v>42.6693629929221</v>
      </c>
    </row>
    <row r="24" ht="15.25" spans="2:63">
      <c r="B24" s="111" t="s">
        <v>29</v>
      </c>
      <c r="C24" s="112">
        <v>0</v>
      </c>
      <c r="D24" s="112">
        <v>0</v>
      </c>
      <c r="E24" s="112">
        <v>0</v>
      </c>
      <c r="F24" s="112">
        <v>0</v>
      </c>
      <c r="G24" s="112">
        <v>0</v>
      </c>
      <c r="H24" s="112">
        <v>0</v>
      </c>
      <c r="I24" s="112">
        <f t="shared" si="2"/>
        <v>0</v>
      </c>
      <c r="J24" s="112">
        <v>0</v>
      </c>
      <c r="K24" s="112">
        <f t="shared" si="4"/>
        <v>85</v>
      </c>
      <c r="L24" s="112">
        <f t="shared" si="5"/>
        <v>85</v>
      </c>
      <c r="M24" s="116">
        <f t="shared" si="6"/>
        <v>100</v>
      </c>
      <c r="N24" s="112">
        <f t="shared" ref="N24:P24" si="105">L51</f>
        <v>85</v>
      </c>
      <c r="O24" s="112">
        <f t="shared" si="105"/>
        <v>85</v>
      </c>
      <c r="P24" s="116">
        <f t="shared" si="105"/>
        <v>100</v>
      </c>
      <c r="Q24" s="112">
        <f t="shared" si="8"/>
        <v>28</v>
      </c>
      <c r="R24" s="116">
        <f t="shared" si="9"/>
        <v>32.9411764705882</v>
      </c>
      <c r="S24" s="112">
        <f t="shared" si="10"/>
        <v>2219</v>
      </c>
      <c r="T24" s="112">
        <f t="shared" si="11"/>
        <v>2208</v>
      </c>
      <c r="U24" s="116">
        <f t="shared" si="12"/>
        <v>99.5042812077512</v>
      </c>
      <c r="V24" s="112">
        <f t="shared" ref="V24:X24" si="106">R51</f>
        <v>2209</v>
      </c>
      <c r="W24" s="112">
        <f t="shared" si="106"/>
        <v>2187</v>
      </c>
      <c r="X24" s="116">
        <f t="shared" si="106"/>
        <v>99.0040742417383</v>
      </c>
      <c r="Y24" s="112">
        <f t="shared" si="14"/>
        <v>957</v>
      </c>
      <c r="Z24" s="116">
        <f t="shared" si="15"/>
        <v>43.1275349256422</v>
      </c>
      <c r="AA24" s="112">
        <f t="shared" si="16"/>
        <v>6085</v>
      </c>
      <c r="AB24" s="112">
        <f t="shared" ref="AB24:AF24" si="107">V51</f>
        <v>6085</v>
      </c>
      <c r="AC24" s="116">
        <f t="shared" si="107"/>
        <v>100</v>
      </c>
      <c r="AD24" s="112">
        <f t="shared" si="107"/>
        <v>5989</v>
      </c>
      <c r="AE24" s="112">
        <f t="shared" si="107"/>
        <v>2010</v>
      </c>
      <c r="AF24" s="116">
        <f t="shared" si="107"/>
        <v>33.5615294706963</v>
      </c>
      <c r="AG24" s="112">
        <f t="shared" si="18"/>
        <v>2649</v>
      </c>
      <c r="AH24" s="113">
        <f t="shared" si="19"/>
        <v>43.5332785538209</v>
      </c>
      <c r="AI24" s="112">
        <f t="shared" si="20"/>
        <v>15566</v>
      </c>
      <c r="AJ24" s="112">
        <f>AB51</f>
        <v>15566</v>
      </c>
      <c r="AK24" s="116">
        <f t="shared" ref="AJ24:AN24" si="108">AC51</f>
        <v>100</v>
      </c>
      <c r="AL24" s="112">
        <f t="shared" si="108"/>
        <v>15209</v>
      </c>
      <c r="AM24" s="112">
        <f t="shared" si="108"/>
        <v>1366</v>
      </c>
      <c r="AN24" s="116">
        <f t="shared" si="108"/>
        <v>8.98152409757381</v>
      </c>
      <c r="AO24" s="112">
        <f t="shared" si="22"/>
        <v>6050</v>
      </c>
      <c r="AP24" s="113">
        <f t="shared" si="23"/>
        <v>38.8667608891173</v>
      </c>
      <c r="AV24" s="30" t="s">
        <v>29</v>
      </c>
      <c r="AW24" s="31">
        <f t="shared" si="42"/>
        <v>0</v>
      </c>
      <c r="AX24" s="31">
        <f t="shared" si="43"/>
        <v>0</v>
      </c>
      <c r="AY24" s="31">
        <f t="shared" si="24"/>
        <v>0</v>
      </c>
      <c r="AZ24" s="31">
        <f t="shared" si="25"/>
        <v>0</v>
      </c>
      <c r="BA24" s="117">
        <f t="shared" si="26"/>
        <v>0</v>
      </c>
      <c r="BB24" s="31">
        <f t="shared" si="27"/>
        <v>85</v>
      </c>
      <c r="BC24" s="32">
        <f t="shared" si="28"/>
        <v>100</v>
      </c>
      <c r="BD24" s="32">
        <f t="shared" si="29"/>
        <v>100</v>
      </c>
      <c r="BE24" s="31">
        <f t="shared" si="30"/>
        <v>28</v>
      </c>
      <c r="BF24" s="117">
        <f t="shared" si="31"/>
        <v>32.9411764705882</v>
      </c>
      <c r="BG24" s="31">
        <f t="shared" si="32"/>
        <v>2219</v>
      </c>
      <c r="BH24" s="32">
        <f t="shared" si="33"/>
        <v>99.5042812077512</v>
      </c>
      <c r="BI24" s="32">
        <f t="shared" si="34"/>
        <v>99.0040742417383</v>
      </c>
      <c r="BJ24" s="31">
        <f t="shared" si="35"/>
        <v>957</v>
      </c>
      <c r="BK24" s="117">
        <f t="shared" si="36"/>
        <v>43.1275349256422</v>
      </c>
    </row>
    <row r="25" ht="15.25" spans="2:63">
      <c r="B25" s="111" t="s">
        <v>30</v>
      </c>
      <c r="C25" s="112">
        <v>0</v>
      </c>
      <c r="D25" s="112">
        <v>0</v>
      </c>
      <c r="E25" s="112">
        <v>0</v>
      </c>
      <c r="F25" s="112">
        <v>0</v>
      </c>
      <c r="G25" s="112">
        <v>0</v>
      </c>
      <c r="H25" s="112">
        <v>0</v>
      </c>
      <c r="I25" s="112">
        <f t="shared" si="2"/>
        <v>0</v>
      </c>
      <c r="J25" s="112">
        <v>0</v>
      </c>
      <c r="K25" s="112">
        <f t="shared" si="4"/>
        <v>112</v>
      </c>
      <c r="L25" s="112">
        <f t="shared" si="5"/>
        <v>108</v>
      </c>
      <c r="M25" s="116">
        <f t="shared" si="6"/>
        <v>96.4285714285714</v>
      </c>
      <c r="N25" s="112">
        <f t="shared" ref="N25:P25" si="109">L52</f>
        <v>112</v>
      </c>
      <c r="O25" s="112">
        <f t="shared" si="109"/>
        <v>110</v>
      </c>
      <c r="P25" s="116">
        <f t="shared" si="109"/>
        <v>98.2142857142857</v>
      </c>
      <c r="Q25" s="112">
        <f t="shared" si="8"/>
        <v>47</v>
      </c>
      <c r="R25" s="116">
        <f t="shared" si="9"/>
        <v>41.9642857142857</v>
      </c>
      <c r="S25" s="112">
        <f t="shared" si="10"/>
        <v>2278</v>
      </c>
      <c r="T25" s="112">
        <f t="shared" si="11"/>
        <v>2123</v>
      </c>
      <c r="U25" s="116">
        <f t="shared" si="12"/>
        <v>93.1957857769974</v>
      </c>
      <c r="V25" s="112">
        <f t="shared" ref="V25:X25" si="110">R52</f>
        <v>2273</v>
      </c>
      <c r="W25" s="112">
        <f t="shared" si="110"/>
        <v>1881</v>
      </c>
      <c r="X25" s="116">
        <f t="shared" si="110"/>
        <v>82.7540695116586</v>
      </c>
      <c r="Y25" s="112">
        <f t="shared" si="14"/>
        <v>909</v>
      </c>
      <c r="Z25" s="116">
        <f t="shared" si="15"/>
        <v>39.9034240561896</v>
      </c>
      <c r="AA25" s="112">
        <f t="shared" si="16"/>
        <v>6121</v>
      </c>
      <c r="AB25" s="112">
        <f t="shared" ref="AB25:AF25" si="111">V52</f>
        <v>6121</v>
      </c>
      <c r="AC25" s="116">
        <f t="shared" si="111"/>
        <v>100</v>
      </c>
      <c r="AD25" s="112">
        <f t="shared" si="111"/>
        <v>5942</v>
      </c>
      <c r="AE25" s="112">
        <f t="shared" si="111"/>
        <v>2965</v>
      </c>
      <c r="AF25" s="116">
        <f t="shared" si="111"/>
        <v>49.8990238976776</v>
      </c>
      <c r="AG25" s="112">
        <f t="shared" si="18"/>
        <v>2592</v>
      </c>
      <c r="AH25" s="113">
        <f t="shared" si="19"/>
        <v>42.3460218918477</v>
      </c>
      <c r="AI25" s="112">
        <f t="shared" si="20"/>
        <v>13183</v>
      </c>
      <c r="AJ25" s="112">
        <f t="shared" ref="AJ25:AN25" si="112">AB52</f>
        <v>13183</v>
      </c>
      <c r="AK25" s="116">
        <f t="shared" si="112"/>
        <v>100</v>
      </c>
      <c r="AL25" s="112">
        <f t="shared" si="112"/>
        <v>12332</v>
      </c>
      <c r="AM25" s="112">
        <f t="shared" si="112"/>
        <v>2028</v>
      </c>
      <c r="AN25" s="116">
        <f t="shared" si="112"/>
        <v>16.4450210833604</v>
      </c>
      <c r="AO25" s="112">
        <f t="shared" si="22"/>
        <v>5091</v>
      </c>
      <c r="AP25" s="113">
        <f t="shared" si="23"/>
        <v>38.6179170143366</v>
      </c>
      <c r="AV25" s="30" t="s">
        <v>30</v>
      </c>
      <c r="AW25" s="31">
        <f t="shared" si="42"/>
        <v>0</v>
      </c>
      <c r="AX25" s="31">
        <f t="shared" si="43"/>
        <v>0</v>
      </c>
      <c r="AY25" s="31">
        <f t="shared" si="24"/>
        <v>0</v>
      </c>
      <c r="AZ25" s="31">
        <f t="shared" si="25"/>
        <v>0</v>
      </c>
      <c r="BA25" s="117">
        <f t="shared" si="26"/>
        <v>0</v>
      </c>
      <c r="BB25" s="31">
        <f t="shared" si="27"/>
        <v>112</v>
      </c>
      <c r="BC25" s="32">
        <f t="shared" si="28"/>
        <v>96.4285714285714</v>
      </c>
      <c r="BD25" s="32">
        <f t="shared" si="29"/>
        <v>98.2142857142857</v>
      </c>
      <c r="BE25" s="31">
        <f t="shared" si="30"/>
        <v>47</v>
      </c>
      <c r="BF25" s="117">
        <f t="shared" si="31"/>
        <v>41.9642857142857</v>
      </c>
      <c r="BG25" s="31">
        <f t="shared" si="32"/>
        <v>2278</v>
      </c>
      <c r="BH25" s="32">
        <f t="shared" si="33"/>
        <v>93.1957857769974</v>
      </c>
      <c r="BI25" s="32">
        <f t="shared" si="34"/>
        <v>82.7540695116586</v>
      </c>
      <c r="BJ25" s="31">
        <f t="shared" si="35"/>
        <v>909</v>
      </c>
      <c r="BK25" s="117">
        <f t="shared" si="36"/>
        <v>39.9034240561896</v>
      </c>
    </row>
    <row r="26" ht="15.25" spans="2:63">
      <c r="B26" s="111" t="s">
        <v>31</v>
      </c>
      <c r="C26" s="112">
        <v>0</v>
      </c>
      <c r="D26" s="112">
        <v>0</v>
      </c>
      <c r="E26" s="112">
        <v>0</v>
      </c>
      <c r="F26" s="112">
        <v>0</v>
      </c>
      <c r="G26" s="112">
        <v>0</v>
      </c>
      <c r="H26" s="112">
        <v>0</v>
      </c>
      <c r="I26" s="112">
        <f t="shared" si="2"/>
        <v>0</v>
      </c>
      <c r="J26" s="112">
        <v>0</v>
      </c>
      <c r="K26" s="112">
        <f t="shared" si="4"/>
        <v>37</v>
      </c>
      <c r="L26" s="112">
        <f t="shared" si="5"/>
        <v>37</v>
      </c>
      <c r="M26" s="116">
        <f t="shared" si="6"/>
        <v>100</v>
      </c>
      <c r="N26" s="112">
        <f t="shared" ref="N26:P26" si="113">L53</f>
        <v>37</v>
      </c>
      <c r="O26" s="112">
        <f t="shared" si="113"/>
        <v>37</v>
      </c>
      <c r="P26" s="116">
        <f t="shared" si="113"/>
        <v>100</v>
      </c>
      <c r="Q26" s="112">
        <f t="shared" si="8"/>
        <v>18</v>
      </c>
      <c r="R26" s="116">
        <f t="shared" si="9"/>
        <v>48.6486486486487</v>
      </c>
      <c r="S26" s="112">
        <f t="shared" si="10"/>
        <v>1626</v>
      </c>
      <c r="T26" s="112">
        <f t="shared" si="11"/>
        <v>1616</v>
      </c>
      <c r="U26" s="116">
        <f t="shared" si="12"/>
        <v>99.3849938499385</v>
      </c>
      <c r="V26" s="112">
        <f t="shared" ref="V26:X26" si="114">R53</f>
        <v>1618</v>
      </c>
      <c r="W26" s="112">
        <f t="shared" si="114"/>
        <v>1583</v>
      </c>
      <c r="X26" s="116">
        <f t="shared" si="114"/>
        <v>97.8368355995056</v>
      </c>
      <c r="Y26" s="112">
        <f t="shared" si="14"/>
        <v>624</v>
      </c>
      <c r="Z26" s="116">
        <f t="shared" si="15"/>
        <v>38.3763837638376</v>
      </c>
      <c r="AA26" s="112">
        <f t="shared" si="16"/>
        <v>5341</v>
      </c>
      <c r="AB26" s="112">
        <f t="shared" ref="AB26:AF26" si="115">V53</f>
        <v>5341</v>
      </c>
      <c r="AC26" s="116">
        <f t="shared" si="115"/>
        <v>100</v>
      </c>
      <c r="AD26" s="112">
        <f t="shared" si="115"/>
        <v>5227</v>
      </c>
      <c r="AE26" s="112">
        <f t="shared" si="115"/>
        <v>1880</v>
      </c>
      <c r="AF26" s="116">
        <f t="shared" si="115"/>
        <v>35.9670939353358</v>
      </c>
      <c r="AG26" s="112">
        <f t="shared" si="18"/>
        <v>2053</v>
      </c>
      <c r="AH26" s="113">
        <f t="shared" si="19"/>
        <v>38.4384946639206</v>
      </c>
      <c r="AI26" s="112">
        <f t="shared" si="20"/>
        <v>16018</v>
      </c>
      <c r="AJ26" s="112">
        <f t="shared" ref="AJ26:AN26" si="116">AB53</f>
        <v>16018</v>
      </c>
      <c r="AK26" s="116">
        <f t="shared" si="116"/>
        <v>100</v>
      </c>
      <c r="AL26" s="112">
        <f t="shared" si="116"/>
        <v>15255</v>
      </c>
      <c r="AM26" s="112">
        <f t="shared" si="116"/>
        <v>419</v>
      </c>
      <c r="AN26" s="116">
        <f t="shared" si="116"/>
        <v>2.74664044575549</v>
      </c>
      <c r="AO26" s="112">
        <f t="shared" si="22"/>
        <v>5441</v>
      </c>
      <c r="AP26" s="113">
        <f t="shared" si="23"/>
        <v>33.9680359595455</v>
      </c>
      <c r="AV26" s="30" t="s">
        <v>31</v>
      </c>
      <c r="AW26" s="31">
        <f t="shared" si="42"/>
        <v>0</v>
      </c>
      <c r="AX26" s="31">
        <f t="shared" si="43"/>
        <v>0</v>
      </c>
      <c r="AY26" s="31">
        <f t="shared" si="24"/>
        <v>0</v>
      </c>
      <c r="AZ26" s="31">
        <f t="shared" si="25"/>
        <v>0</v>
      </c>
      <c r="BA26" s="117">
        <f t="shared" si="26"/>
        <v>0</v>
      </c>
      <c r="BB26" s="31">
        <f t="shared" si="27"/>
        <v>37</v>
      </c>
      <c r="BC26" s="32">
        <f t="shared" si="28"/>
        <v>100</v>
      </c>
      <c r="BD26" s="32">
        <f t="shared" si="29"/>
        <v>100</v>
      </c>
      <c r="BE26" s="31">
        <f t="shared" si="30"/>
        <v>18</v>
      </c>
      <c r="BF26" s="117">
        <f t="shared" si="31"/>
        <v>48.6486486486487</v>
      </c>
      <c r="BG26" s="31">
        <f t="shared" si="32"/>
        <v>1626</v>
      </c>
      <c r="BH26" s="32">
        <f t="shared" si="33"/>
        <v>99.3849938499385</v>
      </c>
      <c r="BI26" s="32">
        <f t="shared" si="34"/>
        <v>97.8368355995056</v>
      </c>
      <c r="BJ26" s="31">
        <f t="shared" si="35"/>
        <v>624</v>
      </c>
      <c r="BK26" s="117">
        <f t="shared" si="36"/>
        <v>38.3763837638376</v>
      </c>
    </row>
    <row r="27" ht="15.25" spans="2:63">
      <c r="B27" s="111" t="s">
        <v>32</v>
      </c>
      <c r="C27" s="112">
        <v>0</v>
      </c>
      <c r="D27" s="112">
        <v>0</v>
      </c>
      <c r="E27" s="112">
        <v>0</v>
      </c>
      <c r="F27" s="112">
        <v>0</v>
      </c>
      <c r="G27" s="112">
        <v>0</v>
      </c>
      <c r="H27" s="112">
        <v>0</v>
      </c>
      <c r="I27" s="112">
        <f t="shared" si="2"/>
        <v>0</v>
      </c>
      <c r="J27" s="112">
        <v>0</v>
      </c>
      <c r="K27" s="112">
        <f t="shared" si="4"/>
        <v>70</v>
      </c>
      <c r="L27" s="112">
        <f t="shared" si="5"/>
        <v>70</v>
      </c>
      <c r="M27" s="116">
        <f t="shared" si="6"/>
        <v>100</v>
      </c>
      <c r="N27" s="112">
        <f t="shared" ref="N27:P27" si="117">L54</f>
        <v>70</v>
      </c>
      <c r="O27" s="112">
        <f t="shared" si="117"/>
        <v>70</v>
      </c>
      <c r="P27" s="116">
        <f t="shared" si="117"/>
        <v>100</v>
      </c>
      <c r="Q27" s="112">
        <f t="shared" si="8"/>
        <v>33</v>
      </c>
      <c r="R27" s="116">
        <f t="shared" si="9"/>
        <v>47.1428571428571</v>
      </c>
      <c r="S27" s="112">
        <f t="shared" si="10"/>
        <v>1403</v>
      </c>
      <c r="T27" s="112">
        <f t="shared" si="11"/>
        <v>1382</v>
      </c>
      <c r="U27" s="116">
        <f t="shared" si="12"/>
        <v>98.5032074126871</v>
      </c>
      <c r="V27" s="112">
        <f t="shared" ref="V27:X27" si="118">R54</f>
        <v>1384</v>
      </c>
      <c r="W27" s="112">
        <f t="shared" si="118"/>
        <v>1157</v>
      </c>
      <c r="X27" s="116">
        <f t="shared" si="118"/>
        <v>83.5982658959538</v>
      </c>
      <c r="Y27" s="112">
        <f t="shared" si="14"/>
        <v>595</v>
      </c>
      <c r="Z27" s="116">
        <f t="shared" si="15"/>
        <v>42.4091233071989</v>
      </c>
      <c r="AA27" s="112">
        <f t="shared" si="16"/>
        <v>6420</v>
      </c>
      <c r="AB27" s="112">
        <f t="shared" ref="AB27:AF27" si="119">V54</f>
        <v>6420</v>
      </c>
      <c r="AC27" s="116">
        <f t="shared" si="119"/>
        <v>100</v>
      </c>
      <c r="AD27" s="112">
        <f t="shared" si="119"/>
        <v>6277</v>
      </c>
      <c r="AE27" s="112">
        <f t="shared" si="119"/>
        <v>2803</v>
      </c>
      <c r="AF27" s="116">
        <f t="shared" si="119"/>
        <v>44.6550900111518</v>
      </c>
      <c r="AG27" s="112">
        <f t="shared" si="18"/>
        <v>2628</v>
      </c>
      <c r="AH27" s="113">
        <f t="shared" si="19"/>
        <v>40.9345794392523</v>
      </c>
      <c r="AI27" s="112">
        <f t="shared" si="20"/>
        <v>10002</v>
      </c>
      <c r="AJ27" s="112">
        <f t="shared" ref="AJ27:AN27" si="120">AB54</f>
        <v>10002</v>
      </c>
      <c r="AK27" s="116">
        <f t="shared" si="120"/>
        <v>100</v>
      </c>
      <c r="AL27" s="112">
        <f t="shared" si="120"/>
        <v>9460</v>
      </c>
      <c r="AM27" s="112">
        <f t="shared" si="120"/>
        <v>1067</v>
      </c>
      <c r="AN27" s="116">
        <f t="shared" si="120"/>
        <v>11.2790697674419</v>
      </c>
      <c r="AO27" s="112">
        <f t="shared" si="22"/>
        <v>3561</v>
      </c>
      <c r="AP27" s="113">
        <f t="shared" si="23"/>
        <v>35.6028794241152</v>
      </c>
      <c r="AV27" s="30" t="s">
        <v>32</v>
      </c>
      <c r="AW27" s="31">
        <f t="shared" si="42"/>
        <v>0</v>
      </c>
      <c r="AX27" s="31">
        <f t="shared" si="43"/>
        <v>0</v>
      </c>
      <c r="AY27" s="31">
        <f t="shared" si="24"/>
        <v>0</v>
      </c>
      <c r="AZ27" s="31">
        <f t="shared" si="25"/>
        <v>0</v>
      </c>
      <c r="BA27" s="117">
        <f t="shared" si="26"/>
        <v>0</v>
      </c>
      <c r="BB27" s="31">
        <f t="shared" si="27"/>
        <v>70</v>
      </c>
      <c r="BC27" s="32">
        <f t="shared" si="28"/>
        <v>100</v>
      </c>
      <c r="BD27" s="32">
        <f t="shared" si="29"/>
        <v>100</v>
      </c>
      <c r="BE27" s="31">
        <f t="shared" si="30"/>
        <v>33</v>
      </c>
      <c r="BF27" s="117">
        <f t="shared" si="31"/>
        <v>47.1428571428571</v>
      </c>
      <c r="BG27" s="31">
        <f t="shared" si="32"/>
        <v>1403</v>
      </c>
      <c r="BH27" s="32">
        <f t="shared" si="33"/>
        <v>98.5032074126871</v>
      </c>
      <c r="BI27" s="32">
        <f t="shared" si="34"/>
        <v>83.5982658959538</v>
      </c>
      <c r="BJ27" s="31">
        <f t="shared" si="35"/>
        <v>595</v>
      </c>
      <c r="BK27" s="117">
        <f t="shared" si="36"/>
        <v>42.4091233071989</v>
      </c>
    </row>
    <row r="28" ht="15.25" spans="2:63">
      <c r="B28" s="111" t="s">
        <v>33</v>
      </c>
      <c r="C28" s="112">
        <v>0</v>
      </c>
      <c r="D28" s="112">
        <v>0</v>
      </c>
      <c r="E28" s="112">
        <v>0</v>
      </c>
      <c r="F28" s="112">
        <v>0</v>
      </c>
      <c r="G28" s="112">
        <v>0</v>
      </c>
      <c r="H28" s="112">
        <v>0</v>
      </c>
      <c r="I28" s="112">
        <f t="shared" si="2"/>
        <v>0</v>
      </c>
      <c r="J28" s="112">
        <v>0</v>
      </c>
      <c r="K28" s="112">
        <f t="shared" si="4"/>
        <v>33</v>
      </c>
      <c r="L28" s="112">
        <f t="shared" si="5"/>
        <v>33</v>
      </c>
      <c r="M28" s="116">
        <f t="shared" si="6"/>
        <v>100</v>
      </c>
      <c r="N28" s="112">
        <f t="shared" ref="N28:P28" si="121">L55</f>
        <v>33</v>
      </c>
      <c r="O28" s="112">
        <f t="shared" si="121"/>
        <v>33</v>
      </c>
      <c r="P28" s="116">
        <f t="shared" si="121"/>
        <v>100</v>
      </c>
      <c r="Q28" s="112">
        <f t="shared" si="8"/>
        <v>19</v>
      </c>
      <c r="R28" s="116">
        <f t="shared" si="9"/>
        <v>57.5757575757576</v>
      </c>
      <c r="S28" s="112">
        <f t="shared" si="10"/>
        <v>1070</v>
      </c>
      <c r="T28" s="112">
        <f t="shared" si="11"/>
        <v>1057</v>
      </c>
      <c r="U28" s="116">
        <f t="shared" si="12"/>
        <v>98.785046728972</v>
      </c>
      <c r="V28" s="112">
        <f t="shared" ref="V28:X28" si="122">R55</f>
        <v>1062</v>
      </c>
      <c r="W28" s="112">
        <f t="shared" si="122"/>
        <v>1054</v>
      </c>
      <c r="X28" s="116">
        <f t="shared" si="122"/>
        <v>99.2467043314501</v>
      </c>
      <c r="Y28" s="112">
        <f t="shared" si="14"/>
        <v>458</v>
      </c>
      <c r="Z28" s="116">
        <f t="shared" si="15"/>
        <v>42.803738317757</v>
      </c>
      <c r="AA28" s="112">
        <f t="shared" si="16"/>
        <v>4351</v>
      </c>
      <c r="AB28" s="112">
        <f t="shared" ref="AB28:AF28" si="123">V55</f>
        <v>4351</v>
      </c>
      <c r="AC28" s="116">
        <f t="shared" si="123"/>
        <v>100</v>
      </c>
      <c r="AD28" s="112">
        <f t="shared" si="123"/>
        <v>4340</v>
      </c>
      <c r="AE28" s="112">
        <f t="shared" si="123"/>
        <v>4324</v>
      </c>
      <c r="AF28" s="116">
        <f t="shared" si="123"/>
        <v>99.63133640553</v>
      </c>
      <c r="AG28" s="112">
        <f t="shared" si="18"/>
        <v>1819</v>
      </c>
      <c r="AH28" s="113">
        <f t="shared" si="19"/>
        <v>41.8064812686739</v>
      </c>
      <c r="AI28" s="112">
        <f t="shared" si="20"/>
        <v>9417</v>
      </c>
      <c r="AJ28" s="112">
        <f t="shared" ref="AJ28:AN28" si="124">AB55</f>
        <v>9417</v>
      </c>
      <c r="AK28" s="116">
        <f t="shared" si="124"/>
        <v>100</v>
      </c>
      <c r="AL28" s="112">
        <f t="shared" si="124"/>
        <v>9284</v>
      </c>
      <c r="AM28" s="112">
        <f t="shared" si="124"/>
        <v>9038</v>
      </c>
      <c r="AN28" s="116">
        <f t="shared" si="124"/>
        <v>97.3502800517019</v>
      </c>
      <c r="AO28" s="112">
        <f t="shared" si="22"/>
        <v>3198</v>
      </c>
      <c r="AP28" s="113">
        <f t="shared" si="23"/>
        <v>33.9598598279707</v>
      </c>
      <c r="AV28" s="30" t="s">
        <v>33</v>
      </c>
      <c r="AW28" s="31">
        <f t="shared" si="42"/>
        <v>0</v>
      </c>
      <c r="AX28" s="31">
        <f t="shared" si="43"/>
        <v>0</v>
      </c>
      <c r="AY28" s="31">
        <f t="shared" si="24"/>
        <v>0</v>
      </c>
      <c r="AZ28" s="31">
        <f t="shared" si="25"/>
        <v>0</v>
      </c>
      <c r="BA28" s="117">
        <f t="shared" si="26"/>
        <v>0</v>
      </c>
      <c r="BB28" s="31">
        <f t="shared" si="27"/>
        <v>33</v>
      </c>
      <c r="BC28" s="32">
        <f t="shared" si="28"/>
        <v>100</v>
      </c>
      <c r="BD28" s="32">
        <f t="shared" si="29"/>
        <v>100</v>
      </c>
      <c r="BE28" s="31">
        <f t="shared" si="30"/>
        <v>19</v>
      </c>
      <c r="BF28" s="117">
        <f t="shared" si="31"/>
        <v>57.5757575757576</v>
      </c>
      <c r="BG28" s="31">
        <f t="shared" si="32"/>
        <v>1070</v>
      </c>
      <c r="BH28" s="32">
        <f t="shared" si="33"/>
        <v>98.785046728972</v>
      </c>
      <c r="BI28" s="32">
        <f t="shared" si="34"/>
        <v>99.2467043314501</v>
      </c>
      <c r="BJ28" s="31">
        <f t="shared" si="35"/>
        <v>458</v>
      </c>
      <c r="BK28" s="117">
        <f t="shared" si="36"/>
        <v>42.803738317757</v>
      </c>
    </row>
    <row r="29" customFormat="1" ht="15.25" spans="2:63">
      <c r="B29" s="118" t="s">
        <v>58</v>
      </c>
      <c r="C29" s="119">
        <f t="shared" ref="C29:H29" si="125">C56</f>
        <v>1</v>
      </c>
      <c r="D29" s="119">
        <f t="shared" si="125"/>
        <v>1</v>
      </c>
      <c r="E29" s="119">
        <f t="shared" si="125"/>
        <v>100</v>
      </c>
      <c r="F29" s="119">
        <f t="shared" si="125"/>
        <v>1</v>
      </c>
      <c r="G29" s="119">
        <f t="shared" si="125"/>
        <v>1</v>
      </c>
      <c r="H29" s="119">
        <f t="shared" si="125"/>
        <v>100</v>
      </c>
      <c r="I29" s="119">
        <f t="shared" si="2"/>
        <v>1</v>
      </c>
      <c r="J29" s="119">
        <f>I29/C29*100</f>
        <v>100</v>
      </c>
      <c r="K29" s="119">
        <f t="shared" si="4"/>
        <v>468</v>
      </c>
      <c r="L29" s="119">
        <f t="shared" si="5"/>
        <v>468</v>
      </c>
      <c r="M29" s="120">
        <f t="shared" si="6"/>
        <v>100</v>
      </c>
      <c r="N29" s="119">
        <f t="shared" ref="N29:P29" si="126">L56</f>
        <v>468</v>
      </c>
      <c r="O29" s="119">
        <f t="shared" si="126"/>
        <v>464</v>
      </c>
      <c r="P29" s="120">
        <f t="shared" si="126"/>
        <v>99.1452991452991</v>
      </c>
      <c r="Q29" s="119">
        <f t="shared" si="8"/>
        <v>137</v>
      </c>
      <c r="R29" s="120">
        <f t="shared" si="9"/>
        <v>29.2735042735043</v>
      </c>
      <c r="S29" s="119">
        <f t="shared" si="10"/>
        <v>558</v>
      </c>
      <c r="T29" s="119">
        <f t="shared" si="11"/>
        <v>558</v>
      </c>
      <c r="U29" s="120">
        <f t="shared" si="12"/>
        <v>100</v>
      </c>
      <c r="V29" s="119">
        <f t="shared" ref="V29:X29" si="127">R56</f>
        <v>557</v>
      </c>
      <c r="W29" s="119">
        <f t="shared" si="127"/>
        <v>557</v>
      </c>
      <c r="X29" s="120">
        <f t="shared" si="127"/>
        <v>100</v>
      </c>
      <c r="Y29" s="119">
        <f t="shared" si="14"/>
        <v>81</v>
      </c>
      <c r="Z29" s="120">
        <f t="shared" si="15"/>
        <v>14.5161290322581</v>
      </c>
      <c r="AA29" s="119">
        <f t="shared" si="16"/>
        <v>58</v>
      </c>
      <c r="AB29" s="119">
        <f t="shared" ref="AB29:AF29" si="128">V56</f>
        <v>58</v>
      </c>
      <c r="AC29" s="120">
        <f t="shared" si="128"/>
        <v>100</v>
      </c>
      <c r="AD29" s="119">
        <f t="shared" si="128"/>
        <v>57</v>
      </c>
      <c r="AE29" s="119">
        <f t="shared" si="128"/>
        <v>48</v>
      </c>
      <c r="AF29" s="120">
        <f t="shared" si="128"/>
        <v>84.2105263157895</v>
      </c>
      <c r="AG29" s="119">
        <f t="shared" si="18"/>
        <v>17</v>
      </c>
      <c r="AH29" s="120">
        <f t="shared" si="19"/>
        <v>29.3103448275862</v>
      </c>
      <c r="AI29" s="119">
        <f t="shared" si="20"/>
        <v>41</v>
      </c>
      <c r="AJ29" s="119">
        <f t="shared" ref="AJ29:AN29" si="129">AB56</f>
        <v>41</v>
      </c>
      <c r="AK29" s="120">
        <f t="shared" si="129"/>
        <v>100</v>
      </c>
      <c r="AL29" s="119">
        <f t="shared" si="129"/>
        <v>41</v>
      </c>
      <c r="AM29" s="119">
        <f t="shared" si="129"/>
        <v>35</v>
      </c>
      <c r="AN29" s="120">
        <f t="shared" si="129"/>
        <v>85.3658536585366</v>
      </c>
      <c r="AO29" s="119">
        <f t="shared" si="22"/>
        <v>15</v>
      </c>
      <c r="AP29" s="120">
        <f t="shared" si="23"/>
        <v>36.5853658536585</v>
      </c>
      <c r="AV29" s="30" t="s">
        <v>58</v>
      </c>
      <c r="AW29" s="31">
        <f t="shared" si="42"/>
        <v>1</v>
      </c>
      <c r="AX29" s="31">
        <f t="shared" si="43"/>
        <v>100</v>
      </c>
      <c r="AY29" s="31">
        <f t="shared" si="24"/>
        <v>100</v>
      </c>
      <c r="AZ29" s="31">
        <f t="shared" si="25"/>
        <v>1</v>
      </c>
      <c r="BA29" s="117">
        <f t="shared" si="26"/>
        <v>100</v>
      </c>
      <c r="BB29" s="31">
        <f t="shared" si="27"/>
        <v>468</v>
      </c>
      <c r="BC29" s="32">
        <f t="shared" si="28"/>
        <v>100</v>
      </c>
      <c r="BD29" s="32">
        <f t="shared" si="29"/>
        <v>99.1452991452991</v>
      </c>
      <c r="BE29" s="31">
        <f t="shared" si="30"/>
        <v>137</v>
      </c>
      <c r="BF29" s="117">
        <f t="shared" si="31"/>
        <v>29.2735042735043</v>
      </c>
      <c r="BG29" s="31">
        <f t="shared" si="32"/>
        <v>558</v>
      </c>
      <c r="BH29" s="32">
        <f t="shared" si="33"/>
        <v>100</v>
      </c>
      <c r="BI29" s="32">
        <f t="shared" si="34"/>
        <v>100</v>
      </c>
      <c r="BJ29" s="31">
        <f t="shared" si="35"/>
        <v>81</v>
      </c>
      <c r="BK29" s="117">
        <f t="shared" si="36"/>
        <v>14.5161290322581</v>
      </c>
    </row>
    <row r="32" ht="20" spans="2:63">
      <c r="B32" s="125" t="s">
        <v>0</v>
      </c>
      <c r="C32" s="126" t="s">
        <v>1</v>
      </c>
      <c r="D32" s="127"/>
      <c r="E32" s="127"/>
      <c r="F32" s="127"/>
      <c r="G32" s="127"/>
      <c r="H32" s="128"/>
      <c r="I32" s="126" t="s">
        <v>2</v>
      </c>
      <c r="J32" s="127"/>
      <c r="K32" s="127"/>
      <c r="L32" s="127"/>
      <c r="M32" s="127"/>
      <c r="N32" s="129"/>
      <c r="O32" s="126" t="s">
        <v>3</v>
      </c>
      <c r="P32" s="127"/>
      <c r="Q32" s="127"/>
      <c r="R32" s="127"/>
      <c r="S32" s="127"/>
      <c r="T32" s="129"/>
      <c r="U32" s="126" t="s">
        <v>4</v>
      </c>
      <c r="V32" s="127"/>
      <c r="W32" s="127"/>
      <c r="X32" s="127"/>
      <c r="Y32" s="127"/>
      <c r="Z32" s="129"/>
      <c r="AA32" s="126" t="s">
        <v>5</v>
      </c>
      <c r="AB32" s="127"/>
      <c r="AC32" s="127"/>
      <c r="AD32" s="127"/>
      <c r="AE32" s="127"/>
      <c r="AF32" s="129"/>
    </row>
    <row r="33" ht="42" customHeight="1" spans="2:42">
      <c r="B33" s="130"/>
      <c r="C33" s="131" t="s">
        <v>6</v>
      </c>
      <c r="D33" s="132" t="s">
        <v>7</v>
      </c>
      <c r="E33" s="132" t="s">
        <v>8</v>
      </c>
      <c r="F33" s="132" t="s">
        <v>9</v>
      </c>
      <c r="G33" s="132" t="s">
        <v>10</v>
      </c>
      <c r="H33" s="132" t="s">
        <v>11</v>
      </c>
      <c r="I33" s="133" t="s">
        <v>6</v>
      </c>
      <c r="J33" s="132" t="s">
        <v>7</v>
      </c>
      <c r="K33" s="132" t="s">
        <v>8</v>
      </c>
      <c r="L33" s="132" t="s">
        <v>9</v>
      </c>
      <c r="M33" s="132" t="s">
        <v>10</v>
      </c>
      <c r="N33" s="134" t="s">
        <v>11</v>
      </c>
      <c r="O33" s="133" t="s">
        <v>6</v>
      </c>
      <c r="P33" s="132" t="s">
        <v>7</v>
      </c>
      <c r="Q33" s="132" t="s">
        <v>8</v>
      </c>
      <c r="R33" s="132" t="s">
        <v>9</v>
      </c>
      <c r="S33" s="132" t="s">
        <v>10</v>
      </c>
      <c r="T33" s="134" t="s">
        <v>11</v>
      </c>
      <c r="U33" s="133" t="s">
        <v>6</v>
      </c>
      <c r="V33" s="132" t="s">
        <v>7</v>
      </c>
      <c r="W33" s="132" t="s">
        <v>8</v>
      </c>
      <c r="X33" s="132" t="s">
        <v>9</v>
      </c>
      <c r="Y33" s="132" t="s">
        <v>10</v>
      </c>
      <c r="Z33" s="134" t="s">
        <v>11</v>
      </c>
      <c r="AA33" s="133" t="s">
        <v>6</v>
      </c>
      <c r="AB33" s="132" t="s">
        <v>7</v>
      </c>
      <c r="AC33" s="132" t="s">
        <v>8</v>
      </c>
      <c r="AD33" s="132" t="s">
        <v>9</v>
      </c>
      <c r="AE33" s="132" t="s">
        <v>10</v>
      </c>
      <c r="AF33" s="134" t="s">
        <v>11</v>
      </c>
      <c r="AJ33" s="135" t="s">
        <v>59</v>
      </c>
      <c r="AK33" s="135" t="s">
        <v>60</v>
      </c>
      <c r="AL33" s="135" t="s">
        <v>1</v>
      </c>
      <c r="AM33" s="135" t="s">
        <v>2</v>
      </c>
      <c r="AN33" s="135" t="s">
        <v>3</v>
      </c>
      <c r="AO33" s="135" t="s">
        <v>4</v>
      </c>
      <c r="AP33" s="135" t="s">
        <v>5</v>
      </c>
    </row>
    <row r="34" spans="2:42">
      <c r="B34" s="136" t="s">
        <v>12</v>
      </c>
      <c r="C34" s="137">
        <v>6</v>
      </c>
      <c r="D34" s="137">
        <v>6</v>
      </c>
      <c r="E34" s="138">
        <v>100</v>
      </c>
      <c r="F34" s="137">
        <v>6</v>
      </c>
      <c r="G34" s="137">
        <v>6</v>
      </c>
      <c r="H34" s="138">
        <v>100</v>
      </c>
      <c r="I34" s="137">
        <v>8395</v>
      </c>
      <c r="J34" s="137">
        <v>8249</v>
      </c>
      <c r="K34" s="138">
        <v>98.2608695652174</v>
      </c>
      <c r="L34" s="137">
        <v>8369</v>
      </c>
      <c r="M34" s="137">
        <v>8268</v>
      </c>
      <c r="N34" s="138">
        <v>98.7931652527184</v>
      </c>
      <c r="O34" s="137">
        <v>105789</v>
      </c>
      <c r="P34" s="137">
        <v>99869</v>
      </c>
      <c r="Q34" s="138">
        <v>94.4039550425848</v>
      </c>
      <c r="R34" s="137">
        <v>105229</v>
      </c>
      <c r="S34" s="137">
        <v>89809</v>
      </c>
      <c r="T34" s="138">
        <v>85.3462448564559</v>
      </c>
      <c r="U34" s="137">
        <v>290800</v>
      </c>
      <c r="V34" s="137">
        <v>290800</v>
      </c>
      <c r="W34" s="138">
        <v>100</v>
      </c>
      <c r="X34" s="137">
        <v>286161</v>
      </c>
      <c r="Y34" s="137">
        <v>122002</v>
      </c>
      <c r="Z34" s="138">
        <v>42.6340416758398</v>
      </c>
      <c r="AA34" s="137">
        <v>717373</v>
      </c>
      <c r="AB34" s="137">
        <v>717373</v>
      </c>
      <c r="AC34" s="138">
        <v>100</v>
      </c>
      <c r="AD34" s="137">
        <v>698618</v>
      </c>
      <c r="AE34" s="137">
        <v>146707</v>
      </c>
      <c r="AF34" s="138">
        <v>20.9996020715183</v>
      </c>
      <c r="AJ34" s="139">
        <v>0</v>
      </c>
      <c r="AK34" s="139" t="s">
        <v>12</v>
      </c>
      <c r="AL34" s="139">
        <v>5</v>
      </c>
      <c r="AM34" s="139">
        <v>3372</v>
      </c>
      <c r="AN34" s="139">
        <v>45460</v>
      </c>
      <c r="AO34" s="139">
        <v>111618</v>
      </c>
      <c r="AP34" s="139">
        <v>239190</v>
      </c>
    </row>
    <row r="35" spans="2:42">
      <c r="B35" s="140" t="s">
        <v>13</v>
      </c>
      <c r="C35" s="140">
        <v>4</v>
      </c>
      <c r="D35" s="140">
        <v>4</v>
      </c>
      <c r="E35" s="141">
        <v>100</v>
      </c>
      <c r="F35" s="140">
        <v>4</v>
      </c>
      <c r="G35" s="140">
        <v>4</v>
      </c>
      <c r="H35" s="141">
        <v>100</v>
      </c>
      <c r="I35" s="140">
        <v>2887</v>
      </c>
      <c r="J35" s="140">
        <v>2864</v>
      </c>
      <c r="K35" s="141">
        <v>99.2033252511257</v>
      </c>
      <c r="L35" s="140">
        <v>2885</v>
      </c>
      <c r="M35" s="140">
        <v>2869</v>
      </c>
      <c r="N35" s="141">
        <v>99.4454072790295</v>
      </c>
      <c r="O35" s="140">
        <v>30602</v>
      </c>
      <c r="P35" s="140">
        <v>27111</v>
      </c>
      <c r="Q35" s="141">
        <v>88.5922488726227</v>
      </c>
      <c r="R35" s="140">
        <v>30446</v>
      </c>
      <c r="S35" s="140">
        <v>18503</v>
      </c>
      <c r="T35" s="141">
        <v>60.7731721736846</v>
      </c>
      <c r="U35" s="140">
        <v>73968</v>
      </c>
      <c r="V35" s="140">
        <v>73968</v>
      </c>
      <c r="W35" s="141">
        <v>100</v>
      </c>
      <c r="X35" s="140">
        <v>73224</v>
      </c>
      <c r="Y35" s="140">
        <v>21041</v>
      </c>
      <c r="Z35" s="141">
        <v>28.7351141702174</v>
      </c>
      <c r="AA35" s="140">
        <v>141429</v>
      </c>
      <c r="AB35" s="140">
        <v>141429</v>
      </c>
      <c r="AC35" s="141">
        <v>100</v>
      </c>
      <c r="AD35" s="140">
        <v>138911</v>
      </c>
      <c r="AE35" s="140">
        <v>1014</v>
      </c>
      <c r="AF35" s="141">
        <v>0.729963789764669</v>
      </c>
      <c r="AJ35" s="139">
        <v>1</v>
      </c>
      <c r="AK35" s="139" t="s">
        <v>13</v>
      </c>
      <c r="AL35" s="139">
        <v>4</v>
      </c>
      <c r="AM35" s="139">
        <v>1227</v>
      </c>
      <c r="AN35" s="139">
        <v>13080</v>
      </c>
      <c r="AO35" s="139">
        <v>26346</v>
      </c>
      <c r="AP35" s="139">
        <v>44317</v>
      </c>
    </row>
    <row r="36" spans="2:42">
      <c r="B36" s="142" t="s">
        <v>14</v>
      </c>
      <c r="C36" s="142">
        <v>1</v>
      </c>
      <c r="D36" s="142">
        <v>1</v>
      </c>
      <c r="E36" s="143">
        <v>100</v>
      </c>
      <c r="F36" s="142">
        <v>1</v>
      </c>
      <c r="G36" s="142">
        <v>1</v>
      </c>
      <c r="H36" s="143">
        <v>100</v>
      </c>
      <c r="I36" s="142">
        <v>2118</v>
      </c>
      <c r="J36" s="142">
        <v>2109</v>
      </c>
      <c r="K36" s="143">
        <v>99.5750708215297</v>
      </c>
      <c r="L36" s="142">
        <v>2116</v>
      </c>
      <c r="M36" s="142">
        <v>2103</v>
      </c>
      <c r="N36" s="143">
        <v>99.3856332703214</v>
      </c>
      <c r="O36" s="142">
        <v>17554</v>
      </c>
      <c r="P36" s="142">
        <v>17312</v>
      </c>
      <c r="Q36" s="143">
        <v>98.6213968326307</v>
      </c>
      <c r="R36" s="142">
        <v>17452</v>
      </c>
      <c r="S36" s="142">
        <v>17171</v>
      </c>
      <c r="T36" s="143">
        <v>98.3898693559478</v>
      </c>
      <c r="U36" s="142">
        <v>56073</v>
      </c>
      <c r="V36" s="142">
        <v>56073</v>
      </c>
      <c r="W36" s="143">
        <v>100</v>
      </c>
      <c r="X36" s="142">
        <v>54523</v>
      </c>
      <c r="Y36" s="142">
        <v>17905</v>
      </c>
      <c r="Z36" s="143">
        <v>32.839352199989</v>
      </c>
      <c r="AA36" s="142">
        <v>143683</v>
      </c>
      <c r="AB36" s="142">
        <v>143683</v>
      </c>
      <c r="AC36" s="143">
        <v>100</v>
      </c>
      <c r="AD36" s="142">
        <v>137852</v>
      </c>
      <c r="AE36" s="142">
        <v>12705</v>
      </c>
      <c r="AF36" s="143">
        <v>9.21640600063837</v>
      </c>
      <c r="AJ36" s="139">
        <v>2</v>
      </c>
      <c r="AK36" s="139" t="s">
        <v>14</v>
      </c>
      <c r="AL36" s="139">
        <v>0</v>
      </c>
      <c r="AM36" s="139">
        <v>833</v>
      </c>
      <c r="AN36" s="139">
        <v>8214</v>
      </c>
      <c r="AO36" s="139">
        <v>21416</v>
      </c>
      <c r="AP36" s="139">
        <v>46067</v>
      </c>
    </row>
    <row r="37" spans="2:42">
      <c r="B37" s="140" t="s">
        <v>15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605</v>
      </c>
      <c r="J37" s="140">
        <v>595</v>
      </c>
      <c r="K37" s="141">
        <v>98.3471074380165</v>
      </c>
      <c r="L37" s="140">
        <v>605</v>
      </c>
      <c r="M37" s="140">
        <v>602</v>
      </c>
      <c r="N37" s="141">
        <v>99.504132231405</v>
      </c>
      <c r="O37" s="140">
        <v>15810</v>
      </c>
      <c r="P37" s="140">
        <v>15482</v>
      </c>
      <c r="Q37" s="141">
        <v>97.9253636938646</v>
      </c>
      <c r="R37" s="140">
        <v>15734</v>
      </c>
      <c r="S37" s="140">
        <v>15293</v>
      </c>
      <c r="T37" s="141">
        <v>97.1971526630228</v>
      </c>
      <c r="U37" s="140">
        <v>26223</v>
      </c>
      <c r="V37" s="140">
        <v>26223</v>
      </c>
      <c r="W37" s="141">
        <v>100</v>
      </c>
      <c r="X37" s="140">
        <v>25931</v>
      </c>
      <c r="Y37" s="140">
        <v>5238</v>
      </c>
      <c r="Z37" s="141">
        <v>20.1997609039374</v>
      </c>
      <c r="AA37" s="140">
        <v>76861</v>
      </c>
      <c r="AB37" s="140">
        <v>76861</v>
      </c>
      <c r="AC37" s="141">
        <v>100</v>
      </c>
      <c r="AD37" s="140">
        <v>75685</v>
      </c>
      <c r="AE37" s="140">
        <v>3152</v>
      </c>
      <c r="AF37" s="141">
        <v>4.16462971526723</v>
      </c>
      <c r="AJ37" s="139">
        <v>3</v>
      </c>
      <c r="AK37" s="139" t="s">
        <v>15</v>
      </c>
      <c r="AL37" s="139">
        <v>0</v>
      </c>
      <c r="AM37" s="139">
        <v>282</v>
      </c>
      <c r="AN37" s="139">
        <v>7172</v>
      </c>
      <c r="AO37" s="139">
        <v>11008</v>
      </c>
      <c r="AP37" s="139">
        <v>27708</v>
      </c>
    </row>
    <row r="38" spans="2:42">
      <c r="B38" s="142" t="s">
        <v>16</v>
      </c>
      <c r="C38" s="142">
        <v>0</v>
      </c>
      <c r="D38" s="142">
        <v>0</v>
      </c>
      <c r="E38" s="142">
        <v>0</v>
      </c>
      <c r="F38" s="142">
        <v>0</v>
      </c>
      <c r="G38" s="142">
        <v>0</v>
      </c>
      <c r="H38" s="142">
        <v>0</v>
      </c>
      <c r="I38" s="142">
        <v>548</v>
      </c>
      <c r="J38" s="142">
        <v>504</v>
      </c>
      <c r="K38" s="143">
        <v>91.970802919708</v>
      </c>
      <c r="L38" s="142">
        <v>547</v>
      </c>
      <c r="M38" s="142">
        <v>535</v>
      </c>
      <c r="N38" s="143">
        <v>97.8062157221207</v>
      </c>
      <c r="O38" s="142">
        <v>11747</v>
      </c>
      <c r="P38" s="142">
        <v>10451</v>
      </c>
      <c r="Q38" s="143">
        <v>88.967395930876</v>
      </c>
      <c r="R38" s="142">
        <v>11684</v>
      </c>
      <c r="S38" s="142">
        <v>10904</v>
      </c>
      <c r="T38" s="143">
        <v>93.3242040397124</v>
      </c>
      <c r="U38" s="142">
        <v>25400</v>
      </c>
      <c r="V38" s="142">
        <v>25400</v>
      </c>
      <c r="W38" s="143">
        <v>100</v>
      </c>
      <c r="X38" s="142">
        <v>25128</v>
      </c>
      <c r="Y38" s="142">
        <v>21257</v>
      </c>
      <c r="Z38" s="143">
        <v>84.5948742438714</v>
      </c>
      <c r="AA38" s="142">
        <v>83986</v>
      </c>
      <c r="AB38" s="142">
        <v>83986</v>
      </c>
      <c r="AC38" s="143">
        <v>100</v>
      </c>
      <c r="AD38" s="142">
        <v>82613</v>
      </c>
      <c r="AE38" s="142">
        <v>61968</v>
      </c>
      <c r="AF38" s="143">
        <v>75.0099863217653</v>
      </c>
      <c r="AJ38" s="139">
        <v>4</v>
      </c>
      <c r="AK38" s="139" t="s">
        <v>16</v>
      </c>
      <c r="AL38" s="139">
        <v>0</v>
      </c>
      <c r="AM38" s="139">
        <v>220</v>
      </c>
      <c r="AN38" s="139">
        <v>4965</v>
      </c>
      <c r="AO38" s="139">
        <v>9742</v>
      </c>
      <c r="AP38" s="139">
        <v>29485</v>
      </c>
    </row>
    <row r="39" spans="2:42">
      <c r="B39" s="140" t="s">
        <v>17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284</v>
      </c>
      <c r="J39" s="140">
        <v>274</v>
      </c>
      <c r="K39" s="141">
        <v>96.4788732394366</v>
      </c>
      <c r="L39" s="140">
        <v>284</v>
      </c>
      <c r="M39" s="140">
        <v>278</v>
      </c>
      <c r="N39" s="141">
        <v>97.887323943662</v>
      </c>
      <c r="O39" s="140">
        <v>6165</v>
      </c>
      <c r="P39" s="140">
        <v>5690</v>
      </c>
      <c r="Q39" s="141">
        <v>92.2952149229522</v>
      </c>
      <c r="R39" s="140">
        <v>6150</v>
      </c>
      <c r="S39" s="140">
        <v>5455</v>
      </c>
      <c r="T39" s="141">
        <v>88.6991869918699</v>
      </c>
      <c r="U39" s="140">
        <v>12569</v>
      </c>
      <c r="V39" s="140">
        <v>12569</v>
      </c>
      <c r="W39" s="141">
        <v>100</v>
      </c>
      <c r="X39" s="140">
        <v>12519</v>
      </c>
      <c r="Y39" s="140">
        <v>8482</v>
      </c>
      <c r="Z39" s="141">
        <v>67.7530154165668</v>
      </c>
      <c r="AA39" s="140">
        <v>37019</v>
      </c>
      <c r="AB39" s="140">
        <v>37019</v>
      </c>
      <c r="AC39" s="141">
        <v>100</v>
      </c>
      <c r="AD39" s="140">
        <v>36556</v>
      </c>
      <c r="AE39" s="140">
        <v>10098</v>
      </c>
      <c r="AF39" s="141">
        <v>27.6233723602145</v>
      </c>
      <c r="AJ39" s="139">
        <v>5</v>
      </c>
      <c r="AK39" s="139" t="s">
        <v>17</v>
      </c>
      <c r="AL39" s="139">
        <v>0</v>
      </c>
      <c r="AM39" s="139">
        <v>103</v>
      </c>
      <c r="AN39" s="139">
        <v>2401</v>
      </c>
      <c r="AO39" s="139">
        <v>4382</v>
      </c>
      <c r="AP39" s="139">
        <v>11682</v>
      </c>
    </row>
    <row r="40" spans="2:42">
      <c r="B40" s="142" t="s">
        <v>18</v>
      </c>
      <c r="C40" s="142">
        <v>0</v>
      </c>
      <c r="D40" s="142">
        <v>0</v>
      </c>
      <c r="E40" s="142">
        <v>0</v>
      </c>
      <c r="F40" s="142">
        <v>0</v>
      </c>
      <c r="G40" s="142">
        <v>0</v>
      </c>
      <c r="H40" s="142">
        <v>0</v>
      </c>
      <c r="I40" s="142">
        <v>178</v>
      </c>
      <c r="J40" s="142">
        <v>160</v>
      </c>
      <c r="K40" s="143">
        <v>89.8876404494382</v>
      </c>
      <c r="L40" s="142">
        <v>178</v>
      </c>
      <c r="M40" s="142">
        <v>178</v>
      </c>
      <c r="N40" s="143">
        <v>100</v>
      </c>
      <c r="O40" s="142">
        <v>5380</v>
      </c>
      <c r="P40" s="142">
        <v>5107</v>
      </c>
      <c r="Q40" s="143">
        <v>94.9256505576208</v>
      </c>
      <c r="R40" s="142">
        <v>5360</v>
      </c>
      <c r="S40" s="142">
        <v>5278</v>
      </c>
      <c r="T40" s="143">
        <v>98.4701492537313</v>
      </c>
      <c r="U40" s="142">
        <v>13464</v>
      </c>
      <c r="V40" s="142">
        <v>13464</v>
      </c>
      <c r="W40" s="143">
        <v>100</v>
      </c>
      <c r="X40" s="142">
        <v>13376</v>
      </c>
      <c r="Y40" s="142">
        <v>7898</v>
      </c>
      <c r="Z40" s="143">
        <v>59.046052631579</v>
      </c>
      <c r="AA40" s="142">
        <v>44128</v>
      </c>
      <c r="AB40" s="142">
        <v>44128</v>
      </c>
      <c r="AC40" s="143">
        <v>100</v>
      </c>
      <c r="AD40" s="142">
        <v>43284</v>
      </c>
      <c r="AE40" s="142">
        <v>15807</v>
      </c>
      <c r="AF40" s="143">
        <v>36.5192680898253</v>
      </c>
      <c r="AJ40" s="139">
        <v>6</v>
      </c>
      <c r="AK40" s="139" t="s">
        <v>18</v>
      </c>
      <c r="AL40" s="139">
        <v>0</v>
      </c>
      <c r="AM40" s="139">
        <v>73</v>
      </c>
      <c r="AN40" s="139">
        <v>2429</v>
      </c>
      <c r="AO40" s="139">
        <v>5284</v>
      </c>
      <c r="AP40" s="139">
        <v>14736</v>
      </c>
    </row>
    <row r="41" spans="2:42">
      <c r="B41" s="140" t="s">
        <v>19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189</v>
      </c>
      <c r="J41" s="140">
        <v>185</v>
      </c>
      <c r="K41" s="141">
        <v>97.8835978835979</v>
      </c>
      <c r="L41" s="140">
        <v>185</v>
      </c>
      <c r="M41" s="140">
        <v>179</v>
      </c>
      <c r="N41" s="141">
        <v>96.7567567567568</v>
      </c>
      <c r="O41" s="140">
        <v>4105</v>
      </c>
      <c r="P41" s="140">
        <v>3918</v>
      </c>
      <c r="Q41" s="141">
        <v>95.4445797807552</v>
      </c>
      <c r="R41" s="140">
        <v>4069</v>
      </c>
      <c r="S41" s="140">
        <v>3440</v>
      </c>
      <c r="T41" s="141">
        <v>84.5416564266405</v>
      </c>
      <c r="U41" s="140">
        <v>8937</v>
      </c>
      <c r="V41" s="140">
        <v>8937</v>
      </c>
      <c r="W41" s="141">
        <v>100</v>
      </c>
      <c r="X41" s="140">
        <v>8831</v>
      </c>
      <c r="Y41" s="140">
        <v>6191</v>
      </c>
      <c r="Z41" s="141">
        <v>70.1053108368248</v>
      </c>
      <c r="AA41" s="140">
        <v>28562</v>
      </c>
      <c r="AB41" s="140">
        <v>28562</v>
      </c>
      <c r="AC41" s="141">
        <v>100</v>
      </c>
      <c r="AD41" s="140">
        <v>27819</v>
      </c>
      <c r="AE41" s="140">
        <v>10727</v>
      </c>
      <c r="AF41" s="141">
        <v>38.5599769941407</v>
      </c>
      <c r="AJ41" s="139">
        <v>7</v>
      </c>
      <c r="AK41" s="139" t="s">
        <v>19</v>
      </c>
      <c r="AL41" s="139">
        <v>0</v>
      </c>
      <c r="AM41" s="139">
        <v>89</v>
      </c>
      <c r="AN41" s="139">
        <v>1832</v>
      </c>
      <c r="AO41" s="139">
        <v>3745</v>
      </c>
      <c r="AP41" s="139">
        <v>10864</v>
      </c>
    </row>
    <row r="42" spans="2:42">
      <c r="B42" s="142" t="s">
        <v>20</v>
      </c>
      <c r="C42" s="142">
        <v>0</v>
      </c>
      <c r="D42" s="142">
        <v>0</v>
      </c>
      <c r="E42" s="142">
        <v>0</v>
      </c>
      <c r="F42" s="142">
        <v>0</v>
      </c>
      <c r="G42" s="142">
        <v>0</v>
      </c>
      <c r="H42" s="142">
        <v>0</v>
      </c>
      <c r="I42" s="142">
        <v>371</v>
      </c>
      <c r="J42" s="142">
        <v>368</v>
      </c>
      <c r="K42" s="143">
        <v>99.1913746630728</v>
      </c>
      <c r="L42" s="142">
        <v>371</v>
      </c>
      <c r="M42" s="142">
        <v>364</v>
      </c>
      <c r="N42" s="143">
        <v>98.1132075471698</v>
      </c>
      <c r="O42" s="142">
        <v>4055</v>
      </c>
      <c r="P42" s="142">
        <v>3906</v>
      </c>
      <c r="Q42" s="143">
        <v>96.3255240443896</v>
      </c>
      <c r="R42" s="142">
        <v>4052</v>
      </c>
      <c r="S42" s="142">
        <v>3777</v>
      </c>
      <c r="T42" s="143">
        <v>93.213228035538</v>
      </c>
      <c r="U42" s="142">
        <v>8820</v>
      </c>
      <c r="V42" s="142">
        <v>8820</v>
      </c>
      <c r="W42" s="143">
        <v>100</v>
      </c>
      <c r="X42" s="142">
        <v>8728</v>
      </c>
      <c r="Y42" s="142">
        <v>3597</v>
      </c>
      <c r="Z42" s="143">
        <v>41.2121906507791</v>
      </c>
      <c r="AA42" s="142">
        <v>20548</v>
      </c>
      <c r="AB42" s="142">
        <v>20548</v>
      </c>
      <c r="AC42" s="143">
        <v>100</v>
      </c>
      <c r="AD42" s="142">
        <v>20107</v>
      </c>
      <c r="AE42" s="142">
        <v>3723</v>
      </c>
      <c r="AF42" s="143">
        <v>18.5159397224847</v>
      </c>
      <c r="AJ42" s="139">
        <v>8</v>
      </c>
      <c r="AK42" s="139" t="s">
        <v>20</v>
      </c>
      <c r="AL42" s="139">
        <v>0</v>
      </c>
      <c r="AM42" s="139">
        <v>137</v>
      </c>
      <c r="AN42" s="139">
        <v>1528</v>
      </c>
      <c r="AO42" s="139">
        <v>2973</v>
      </c>
      <c r="AP42" s="139">
        <v>6254</v>
      </c>
    </row>
    <row r="43" spans="2:42">
      <c r="B43" s="140" t="s">
        <v>21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173</v>
      </c>
      <c r="J43" s="140">
        <v>171</v>
      </c>
      <c r="K43" s="141">
        <v>98.8439306358381</v>
      </c>
      <c r="L43" s="140">
        <v>173</v>
      </c>
      <c r="M43" s="140">
        <v>154</v>
      </c>
      <c r="N43" s="141">
        <v>89.0173410404624</v>
      </c>
      <c r="O43" s="140">
        <v>2412</v>
      </c>
      <c r="P43" s="140">
        <v>2342</v>
      </c>
      <c r="Q43" s="141">
        <v>97.0978441127695</v>
      </c>
      <c r="R43" s="140">
        <v>2404</v>
      </c>
      <c r="S43" s="140">
        <v>1904</v>
      </c>
      <c r="T43" s="141">
        <v>79.2013311148087</v>
      </c>
      <c r="U43" s="140">
        <v>7816</v>
      </c>
      <c r="V43" s="140">
        <v>7816</v>
      </c>
      <c r="W43" s="141">
        <v>100</v>
      </c>
      <c r="X43" s="140">
        <v>7711</v>
      </c>
      <c r="Y43" s="140">
        <v>2989</v>
      </c>
      <c r="Z43" s="141">
        <v>38.7628063804954</v>
      </c>
      <c r="AA43" s="140">
        <v>11964</v>
      </c>
      <c r="AB43" s="140">
        <v>11964</v>
      </c>
      <c r="AC43" s="141">
        <v>100</v>
      </c>
      <c r="AD43" s="140">
        <v>11609</v>
      </c>
      <c r="AE43" s="140">
        <v>825</v>
      </c>
      <c r="AF43" s="141">
        <v>7.10655525885089</v>
      </c>
      <c r="AJ43" s="139">
        <v>9</v>
      </c>
      <c r="AK43" s="139" t="s">
        <v>21</v>
      </c>
      <c r="AL43" s="139">
        <v>0</v>
      </c>
      <c r="AM43" s="139">
        <v>68</v>
      </c>
      <c r="AN43" s="139">
        <v>950</v>
      </c>
      <c r="AO43" s="139">
        <v>3006</v>
      </c>
      <c r="AP43" s="139">
        <v>3426</v>
      </c>
    </row>
    <row r="44" spans="2:42">
      <c r="B44" s="142" t="s">
        <v>22</v>
      </c>
      <c r="C44" s="142">
        <v>0</v>
      </c>
      <c r="D44" s="142">
        <v>0</v>
      </c>
      <c r="E44" s="142">
        <v>0</v>
      </c>
      <c r="F44" s="142">
        <v>0</v>
      </c>
      <c r="G44" s="142">
        <v>0</v>
      </c>
      <c r="H44" s="142">
        <v>0</v>
      </c>
      <c r="I44" s="142">
        <v>62</v>
      </c>
      <c r="J44" s="142">
        <v>53</v>
      </c>
      <c r="K44" s="143">
        <v>85.4838709677419</v>
      </c>
      <c r="L44" s="142">
        <v>62</v>
      </c>
      <c r="M44" s="142">
        <v>62</v>
      </c>
      <c r="N44" s="143">
        <v>100</v>
      </c>
      <c r="O44" s="142">
        <v>1387</v>
      </c>
      <c r="P44" s="142">
        <v>1013</v>
      </c>
      <c r="Q44" s="143">
        <v>73.0353280461428</v>
      </c>
      <c r="R44" s="142">
        <v>1384</v>
      </c>
      <c r="S44" s="142">
        <v>1333</v>
      </c>
      <c r="T44" s="143">
        <v>96.3150289017341</v>
      </c>
      <c r="U44" s="142">
        <v>5277</v>
      </c>
      <c r="V44" s="142">
        <v>5277</v>
      </c>
      <c r="W44" s="143">
        <v>100</v>
      </c>
      <c r="X44" s="142">
        <v>5139</v>
      </c>
      <c r="Y44" s="142">
        <v>3352</v>
      </c>
      <c r="Z44" s="143">
        <v>65.2266978011286</v>
      </c>
      <c r="AA44" s="142">
        <v>9132</v>
      </c>
      <c r="AB44" s="142">
        <v>9132</v>
      </c>
      <c r="AC44" s="143">
        <v>100</v>
      </c>
      <c r="AD44" s="142">
        <v>8625</v>
      </c>
      <c r="AE44" s="142">
        <v>2076</v>
      </c>
      <c r="AF44" s="143">
        <v>24.0695652173913</v>
      </c>
      <c r="AJ44" s="139">
        <v>10</v>
      </c>
      <c r="AK44" s="139" t="s">
        <v>22</v>
      </c>
      <c r="AL44" s="139">
        <v>0</v>
      </c>
      <c r="AM44" s="139">
        <v>25</v>
      </c>
      <c r="AN44" s="139">
        <v>462</v>
      </c>
      <c r="AO44" s="139">
        <v>2038</v>
      </c>
      <c r="AP44" s="139">
        <v>2756</v>
      </c>
    </row>
    <row r="45" spans="2:42">
      <c r="B45" s="140" t="s">
        <v>23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44</v>
      </c>
      <c r="J45" s="140">
        <v>44</v>
      </c>
      <c r="K45" s="141">
        <v>100</v>
      </c>
      <c r="L45" s="140">
        <v>44</v>
      </c>
      <c r="M45" s="140">
        <v>44</v>
      </c>
      <c r="N45" s="141">
        <v>100</v>
      </c>
      <c r="O45" s="140">
        <v>1049</v>
      </c>
      <c r="P45" s="140">
        <v>989</v>
      </c>
      <c r="Q45" s="141">
        <v>94.280266920877</v>
      </c>
      <c r="R45" s="140">
        <v>1024</v>
      </c>
      <c r="S45" s="140">
        <v>912</v>
      </c>
      <c r="T45" s="141">
        <v>89.0625</v>
      </c>
      <c r="U45" s="140">
        <v>3015</v>
      </c>
      <c r="V45" s="140">
        <v>3015</v>
      </c>
      <c r="W45" s="141">
        <v>100</v>
      </c>
      <c r="X45" s="140">
        <v>2894</v>
      </c>
      <c r="Y45" s="140">
        <v>1161</v>
      </c>
      <c r="Z45" s="141">
        <v>40.1174844505874</v>
      </c>
      <c r="AA45" s="140">
        <v>5621</v>
      </c>
      <c r="AB45" s="140">
        <v>5621</v>
      </c>
      <c r="AC45" s="141">
        <v>100</v>
      </c>
      <c r="AD45" s="140">
        <v>5320</v>
      </c>
      <c r="AE45" s="140">
        <v>516</v>
      </c>
      <c r="AF45" s="141">
        <v>9.69924812030075</v>
      </c>
      <c r="AJ45" s="139">
        <v>11</v>
      </c>
      <c r="AK45" s="139" t="s">
        <v>23</v>
      </c>
      <c r="AL45" s="139">
        <v>0</v>
      </c>
      <c r="AM45" s="139">
        <v>27</v>
      </c>
      <c r="AN45" s="139">
        <v>419</v>
      </c>
      <c r="AO45" s="139">
        <v>1215</v>
      </c>
      <c r="AP45" s="139">
        <v>2092</v>
      </c>
    </row>
    <row r="46" spans="2:42">
      <c r="B46" s="142" t="s">
        <v>24</v>
      </c>
      <c r="C46" s="142">
        <v>0</v>
      </c>
      <c r="D46" s="142">
        <v>0</v>
      </c>
      <c r="E46" s="142">
        <v>0</v>
      </c>
      <c r="F46" s="142">
        <v>0</v>
      </c>
      <c r="G46" s="142">
        <v>0</v>
      </c>
      <c r="H46" s="142">
        <v>0</v>
      </c>
      <c r="I46" s="142">
        <v>11</v>
      </c>
      <c r="J46" s="142">
        <v>11</v>
      </c>
      <c r="K46" s="143">
        <v>100</v>
      </c>
      <c r="L46" s="142">
        <v>11</v>
      </c>
      <c r="M46" s="142">
        <v>11</v>
      </c>
      <c r="N46" s="143">
        <v>100</v>
      </c>
      <c r="O46" s="142">
        <v>622</v>
      </c>
      <c r="P46" s="142">
        <v>603</v>
      </c>
      <c r="Q46" s="143">
        <v>96.9453376205788</v>
      </c>
      <c r="R46" s="142">
        <v>620</v>
      </c>
      <c r="S46" s="142">
        <v>608</v>
      </c>
      <c r="T46" s="143">
        <v>98.0645161290323</v>
      </c>
      <c r="U46" s="142">
        <v>3322</v>
      </c>
      <c r="V46" s="142">
        <v>3322</v>
      </c>
      <c r="W46" s="143">
        <v>100</v>
      </c>
      <c r="X46" s="142">
        <v>3246</v>
      </c>
      <c r="Y46" s="142">
        <v>1300</v>
      </c>
      <c r="Z46" s="143">
        <v>40.0492914356131</v>
      </c>
      <c r="AA46" s="142">
        <v>6592</v>
      </c>
      <c r="AB46" s="142">
        <v>6592</v>
      </c>
      <c r="AC46" s="143">
        <v>100</v>
      </c>
      <c r="AD46" s="142">
        <v>6165</v>
      </c>
      <c r="AE46" s="142">
        <v>713</v>
      </c>
      <c r="AF46" s="143">
        <v>11.5652879156529</v>
      </c>
      <c r="AJ46" s="139">
        <v>12</v>
      </c>
      <c r="AK46" s="139" t="s">
        <v>24</v>
      </c>
      <c r="AL46" s="139">
        <v>0</v>
      </c>
      <c r="AM46" s="139">
        <v>3</v>
      </c>
      <c r="AN46" s="139">
        <v>217</v>
      </c>
      <c r="AO46" s="139">
        <v>1277</v>
      </c>
      <c r="AP46" s="139">
        <v>2046</v>
      </c>
    </row>
    <row r="47" spans="2:42">
      <c r="B47" s="140" t="s">
        <v>25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39</v>
      </c>
      <c r="J47" s="140">
        <v>37</v>
      </c>
      <c r="K47" s="141">
        <v>94.8717948717949</v>
      </c>
      <c r="L47" s="140">
        <v>39</v>
      </c>
      <c r="M47" s="140">
        <v>39</v>
      </c>
      <c r="N47" s="141">
        <v>100</v>
      </c>
      <c r="O47" s="140">
        <v>1316</v>
      </c>
      <c r="P47" s="140">
        <v>1186</v>
      </c>
      <c r="Q47" s="141">
        <v>90.1215805471125</v>
      </c>
      <c r="R47" s="140">
        <v>1308</v>
      </c>
      <c r="S47" s="140">
        <v>1125</v>
      </c>
      <c r="T47" s="141">
        <v>86.0091743119266</v>
      </c>
      <c r="U47" s="140">
        <v>8289</v>
      </c>
      <c r="V47" s="140">
        <v>8289</v>
      </c>
      <c r="W47" s="141">
        <v>100</v>
      </c>
      <c r="X47" s="140">
        <v>8047</v>
      </c>
      <c r="Y47" s="140">
        <v>4291</v>
      </c>
      <c r="Z47" s="141">
        <v>53.3242202062881</v>
      </c>
      <c r="AA47" s="140">
        <v>15778</v>
      </c>
      <c r="AB47" s="140">
        <v>15778</v>
      </c>
      <c r="AC47" s="141">
        <v>100</v>
      </c>
      <c r="AD47" s="140">
        <v>15426</v>
      </c>
      <c r="AE47" s="140">
        <v>4457</v>
      </c>
      <c r="AF47" s="141">
        <v>28.892778426034</v>
      </c>
      <c r="AJ47" s="139">
        <v>13</v>
      </c>
      <c r="AK47" s="139" t="s">
        <v>25</v>
      </c>
      <c r="AL47" s="139">
        <v>0</v>
      </c>
      <c r="AM47" s="139">
        <v>16</v>
      </c>
      <c r="AN47" s="139">
        <v>489</v>
      </c>
      <c r="AO47" s="139">
        <v>3744</v>
      </c>
      <c r="AP47" s="139">
        <v>5194</v>
      </c>
    </row>
    <row r="48" spans="2:42">
      <c r="B48" s="142" t="s">
        <v>26</v>
      </c>
      <c r="C48" s="142">
        <v>0</v>
      </c>
      <c r="D48" s="142">
        <v>0</v>
      </c>
      <c r="E48" s="142">
        <v>0</v>
      </c>
      <c r="F48" s="142">
        <v>0</v>
      </c>
      <c r="G48" s="142">
        <v>0</v>
      </c>
      <c r="H48" s="142">
        <v>0</v>
      </c>
      <c r="I48" s="142">
        <v>61</v>
      </c>
      <c r="J48" s="142">
        <v>50</v>
      </c>
      <c r="K48" s="143">
        <v>81.9672131147541</v>
      </c>
      <c r="L48" s="142">
        <v>61</v>
      </c>
      <c r="M48" s="142">
        <v>52</v>
      </c>
      <c r="N48" s="143">
        <v>85.2459016393443</v>
      </c>
      <c r="O48" s="142">
        <v>1879</v>
      </c>
      <c r="P48" s="142">
        <v>1522</v>
      </c>
      <c r="Q48" s="143">
        <v>81.0005321979776</v>
      </c>
      <c r="R48" s="142">
        <v>1863</v>
      </c>
      <c r="S48" s="142">
        <v>1081</v>
      </c>
      <c r="T48" s="143">
        <v>58.0246913580247</v>
      </c>
      <c r="U48" s="142">
        <v>8149</v>
      </c>
      <c r="V48" s="142">
        <v>8149</v>
      </c>
      <c r="W48" s="143">
        <v>100</v>
      </c>
      <c r="X48" s="142">
        <v>7937</v>
      </c>
      <c r="Y48" s="142">
        <v>2163</v>
      </c>
      <c r="Z48" s="143">
        <v>27.2521103691571</v>
      </c>
      <c r="AA48" s="142">
        <v>14418</v>
      </c>
      <c r="AB48" s="142">
        <v>14418</v>
      </c>
      <c r="AC48" s="143">
        <v>100</v>
      </c>
      <c r="AD48" s="142">
        <v>13949</v>
      </c>
      <c r="AE48" s="142">
        <v>1062</v>
      </c>
      <c r="AF48" s="143">
        <v>7.61344899275934</v>
      </c>
      <c r="AJ48" s="139">
        <v>14</v>
      </c>
      <c r="AK48" s="139" t="s">
        <v>26</v>
      </c>
      <c r="AL48" s="139">
        <v>0</v>
      </c>
      <c r="AM48" s="139">
        <v>16</v>
      </c>
      <c r="AN48" s="139">
        <v>700</v>
      </c>
      <c r="AO48" s="139">
        <v>3330</v>
      </c>
      <c r="AP48" s="139">
        <v>4475</v>
      </c>
    </row>
    <row r="49" spans="2:42">
      <c r="B49" s="140" t="s">
        <v>27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24</v>
      </c>
      <c r="J49" s="140">
        <v>18</v>
      </c>
      <c r="K49" s="141">
        <v>75</v>
      </c>
      <c r="L49" s="140">
        <v>24</v>
      </c>
      <c r="M49" s="140">
        <v>24</v>
      </c>
      <c r="N49" s="141">
        <v>100</v>
      </c>
      <c r="O49" s="140">
        <v>1311</v>
      </c>
      <c r="P49" s="140">
        <v>1183</v>
      </c>
      <c r="Q49" s="141">
        <v>90.2364607170099</v>
      </c>
      <c r="R49" s="140">
        <v>1307</v>
      </c>
      <c r="S49" s="140">
        <v>1067</v>
      </c>
      <c r="T49" s="141">
        <v>81.637337413925</v>
      </c>
      <c r="U49" s="140">
        <v>3787</v>
      </c>
      <c r="V49" s="140">
        <v>3787</v>
      </c>
      <c r="W49" s="141">
        <v>100</v>
      </c>
      <c r="X49" s="140">
        <v>3745</v>
      </c>
      <c r="Y49" s="140">
        <v>2535</v>
      </c>
      <c r="Z49" s="141">
        <v>67.6902536715621</v>
      </c>
      <c r="AA49" s="140">
        <v>9495</v>
      </c>
      <c r="AB49" s="140">
        <v>9495</v>
      </c>
      <c r="AC49" s="141">
        <v>100</v>
      </c>
      <c r="AD49" s="140">
        <v>9287</v>
      </c>
      <c r="AE49" s="140">
        <v>4499</v>
      </c>
      <c r="AF49" s="141">
        <v>48.444061591472</v>
      </c>
      <c r="AJ49" s="139">
        <v>15</v>
      </c>
      <c r="AK49" s="139" t="s">
        <v>27</v>
      </c>
      <c r="AL49" s="139">
        <v>0</v>
      </c>
      <c r="AM49" s="139">
        <v>10</v>
      </c>
      <c r="AN49" s="139">
        <v>540</v>
      </c>
      <c r="AO49" s="139">
        <v>1508</v>
      </c>
      <c r="AP49" s="139">
        <v>3236</v>
      </c>
    </row>
    <row r="50" spans="2:42">
      <c r="B50" s="142" t="s">
        <v>28</v>
      </c>
      <c r="C50" s="142">
        <v>0</v>
      </c>
      <c r="D50" s="142">
        <v>0</v>
      </c>
      <c r="E50" s="142">
        <v>0</v>
      </c>
      <c r="F50" s="142">
        <v>0</v>
      </c>
      <c r="G50" s="142">
        <v>0</v>
      </c>
      <c r="H50" s="142">
        <v>0</v>
      </c>
      <c r="I50" s="142">
        <v>38</v>
      </c>
      <c r="J50" s="142">
        <v>35</v>
      </c>
      <c r="K50" s="143">
        <v>92.1052631578947</v>
      </c>
      <c r="L50" s="142">
        <v>38</v>
      </c>
      <c r="M50" s="142">
        <v>38</v>
      </c>
      <c r="N50" s="143">
        <v>100</v>
      </c>
      <c r="O50" s="142">
        <v>989</v>
      </c>
      <c r="P50" s="142">
        <v>941</v>
      </c>
      <c r="Q50" s="143">
        <v>95.1466127401416</v>
      </c>
      <c r="R50" s="142">
        <v>989</v>
      </c>
      <c r="S50" s="142">
        <v>854</v>
      </c>
      <c r="T50" s="143">
        <v>86.3498483316481</v>
      </c>
      <c r="U50" s="142">
        <v>3333</v>
      </c>
      <c r="V50" s="142">
        <v>3333</v>
      </c>
      <c r="W50" s="143">
        <v>100</v>
      </c>
      <c r="X50" s="142">
        <v>3285</v>
      </c>
      <c r="Y50" s="142">
        <v>1178</v>
      </c>
      <c r="Z50" s="143">
        <v>35.8599695585997</v>
      </c>
      <c r="AA50" s="142">
        <v>7491</v>
      </c>
      <c r="AB50" s="142">
        <v>7491</v>
      </c>
      <c r="AC50" s="143">
        <v>100</v>
      </c>
      <c r="AD50" s="142">
        <v>7296</v>
      </c>
      <c r="AE50" s="142">
        <v>616</v>
      </c>
      <c r="AF50" s="143">
        <v>8.44298245614035</v>
      </c>
      <c r="AJ50" s="139">
        <v>16</v>
      </c>
      <c r="AK50" s="139" t="s">
        <v>28</v>
      </c>
      <c r="AL50" s="139">
        <v>0</v>
      </c>
      <c r="AM50" s="139">
        <v>17</v>
      </c>
      <c r="AN50" s="139">
        <v>422</v>
      </c>
      <c r="AO50" s="139">
        <v>1404</v>
      </c>
      <c r="AP50" s="139">
        <v>2865</v>
      </c>
    </row>
    <row r="51" spans="2:42">
      <c r="B51" s="140" t="s">
        <v>29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85</v>
      </c>
      <c r="J51" s="140">
        <v>85</v>
      </c>
      <c r="K51" s="141">
        <v>100</v>
      </c>
      <c r="L51" s="140">
        <v>85</v>
      </c>
      <c r="M51" s="140">
        <v>85</v>
      </c>
      <c r="N51" s="141">
        <v>100</v>
      </c>
      <c r="O51" s="140">
        <v>2219</v>
      </c>
      <c r="P51" s="140">
        <v>2208</v>
      </c>
      <c r="Q51" s="141">
        <v>99.5042812077512</v>
      </c>
      <c r="R51" s="140">
        <v>2209</v>
      </c>
      <c r="S51" s="140">
        <v>2187</v>
      </c>
      <c r="T51" s="141">
        <v>99.0040742417383</v>
      </c>
      <c r="U51" s="140">
        <v>6085</v>
      </c>
      <c r="V51" s="140">
        <v>6085</v>
      </c>
      <c r="W51" s="141">
        <v>100</v>
      </c>
      <c r="X51" s="140">
        <v>5989</v>
      </c>
      <c r="Y51" s="140">
        <v>2010</v>
      </c>
      <c r="Z51" s="141">
        <v>33.5615294706963</v>
      </c>
      <c r="AA51" s="140">
        <v>15566</v>
      </c>
      <c r="AB51" s="140">
        <v>15566</v>
      </c>
      <c r="AC51" s="141">
        <v>100</v>
      </c>
      <c r="AD51" s="140">
        <v>15209</v>
      </c>
      <c r="AE51" s="140">
        <v>1366</v>
      </c>
      <c r="AF51" s="141">
        <v>8.98152409757381</v>
      </c>
      <c r="AJ51" s="139">
        <v>17</v>
      </c>
      <c r="AK51" s="139" t="s">
        <v>29</v>
      </c>
      <c r="AL51" s="139">
        <v>0</v>
      </c>
      <c r="AM51" s="139">
        <v>28</v>
      </c>
      <c r="AN51" s="139">
        <v>957</v>
      </c>
      <c r="AO51" s="139">
        <v>2649</v>
      </c>
      <c r="AP51" s="139">
        <v>6050</v>
      </c>
    </row>
    <row r="52" spans="2:42">
      <c r="B52" s="142" t="s">
        <v>30</v>
      </c>
      <c r="C52" s="142">
        <v>0</v>
      </c>
      <c r="D52" s="142">
        <v>0</v>
      </c>
      <c r="E52" s="142">
        <v>0</v>
      </c>
      <c r="F52" s="142">
        <v>0</v>
      </c>
      <c r="G52" s="142">
        <v>0</v>
      </c>
      <c r="H52" s="142">
        <v>0</v>
      </c>
      <c r="I52" s="142">
        <v>112</v>
      </c>
      <c r="J52" s="142">
        <v>108</v>
      </c>
      <c r="K52" s="143">
        <v>96.4285714285714</v>
      </c>
      <c r="L52" s="142">
        <v>112</v>
      </c>
      <c r="M52" s="142">
        <v>110</v>
      </c>
      <c r="N52" s="143">
        <v>98.2142857142857</v>
      </c>
      <c r="O52" s="142">
        <v>2278</v>
      </c>
      <c r="P52" s="142">
        <v>2123</v>
      </c>
      <c r="Q52" s="143">
        <v>93.1957857769974</v>
      </c>
      <c r="R52" s="142">
        <v>2273</v>
      </c>
      <c r="S52" s="142">
        <v>1881</v>
      </c>
      <c r="T52" s="143">
        <v>82.7540695116586</v>
      </c>
      <c r="U52" s="142">
        <v>6121</v>
      </c>
      <c r="V52" s="142">
        <v>6121</v>
      </c>
      <c r="W52" s="143">
        <v>100</v>
      </c>
      <c r="X52" s="142">
        <v>5942</v>
      </c>
      <c r="Y52" s="142">
        <v>2965</v>
      </c>
      <c r="Z52" s="143">
        <v>49.8990238976776</v>
      </c>
      <c r="AA52" s="142">
        <v>13183</v>
      </c>
      <c r="AB52" s="142">
        <v>13183</v>
      </c>
      <c r="AC52" s="143">
        <v>100</v>
      </c>
      <c r="AD52" s="142">
        <v>12332</v>
      </c>
      <c r="AE52" s="142">
        <v>2028</v>
      </c>
      <c r="AF52" s="143">
        <v>16.4450210833604</v>
      </c>
      <c r="AJ52" s="139">
        <v>18</v>
      </c>
      <c r="AK52" s="139" t="s">
        <v>30</v>
      </c>
      <c r="AL52" s="139">
        <v>0</v>
      </c>
      <c r="AM52" s="139">
        <v>47</v>
      </c>
      <c r="AN52" s="139">
        <v>909</v>
      </c>
      <c r="AO52" s="139">
        <v>2592</v>
      </c>
      <c r="AP52" s="139">
        <v>5091</v>
      </c>
    </row>
    <row r="53" spans="2:42">
      <c r="B53" s="140" t="s">
        <v>31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37</v>
      </c>
      <c r="J53" s="140">
        <v>37</v>
      </c>
      <c r="K53" s="141">
        <v>100</v>
      </c>
      <c r="L53" s="140">
        <v>37</v>
      </c>
      <c r="M53" s="140">
        <v>37</v>
      </c>
      <c r="N53" s="141">
        <v>100</v>
      </c>
      <c r="O53" s="140">
        <v>1626</v>
      </c>
      <c r="P53" s="140">
        <v>1616</v>
      </c>
      <c r="Q53" s="141">
        <v>99.3849938499385</v>
      </c>
      <c r="R53" s="140">
        <v>1618</v>
      </c>
      <c r="S53" s="140">
        <v>1583</v>
      </c>
      <c r="T53" s="141">
        <v>97.8368355995056</v>
      </c>
      <c r="U53" s="140">
        <v>5341</v>
      </c>
      <c r="V53" s="140">
        <v>5341</v>
      </c>
      <c r="W53" s="141">
        <v>100</v>
      </c>
      <c r="X53" s="140">
        <v>5227</v>
      </c>
      <c r="Y53" s="140">
        <v>1880</v>
      </c>
      <c r="Z53" s="141">
        <v>35.9670939353358</v>
      </c>
      <c r="AA53" s="140">
        <v>16018</v>
      </c>
      <c r="AB53" s="140">
        <v>16018</v>
      </c>
      <c r="AC53" s="141">
        <v>100</v>
      </c>
      <c r="AD53" s="140">
        <v>15255</v>
      </c>
      <c r="AE53" s="140">
        <v>419</v>
      </c>
      <c r="AF53" s="141">
        <v>2.74664044575549</v>
      </c>
      <c r="AJ53" s="139">
        <v>19</v>
      </c>
      <c r="AK53" s="139" t="s">
        <v>31</v>
      </c>
      <c r="AL53" s="139">
        <v>0</v>
      </c>
      <c r="AM53" s="139">
        <v>18</v>
      </c>
      <c r="AN53" s="139">
        <v>624</v>
      </c>
      <c r="AO53" s="139">
        <v>2053</v>
      </c>
      <c r="AP53" s="139">
        <v>5441</v>
      </c>
    </row>
    <row r="54" spans="2:42">
      <c r="B54" s="142" t="s">
        <v>32</v>
      </c>
      <c r="C54" s="142">
        <v>0</v>
      </c>
      <c r="D54" s="142">
        <v>0</v>
      </c>
      <c r="E54" s="142">
        <v>0</v>
      </c>
      <c r="F54" s="142">
        <v>0</v>
      </c>
      <c r="G54" s="142">
        <v>0</v>
      </c>
      <c r="H54" s="142">
        <v>0</v>
      </c>
      <c r="I54" s="142">
        <v>70</v>
      </c>
      <c r="J54" s="142">
        <v>70</v>
      </c>
      <c r="K54" s="143">
        <v>100</v>
      </c>
      <c r="L54" s="142">
        <v>70</v>
      </c>
      <c r="M54" s="142">
        <v>70</v>
      </c>
      <c r="N54" s="143">
        <v>100</v>
      </c>
      <c r="O54" s="142">
        <v>1403</v>
      </c>
      <c r="P54" s="142">
        <v>1382</v>
      </c>
      <c r="Q54" s="143">
        <v>98.5032074126871</v>
      </c>
      <c r="R54" s="142">
        <v>1384</v>
      </c>
      <c r="S54" s="142">
        <v>1157</v>
      </c>
      <c r="T54" s="143">
        <v>83.5982658959538</v>
      </c>
      <c r="U54" s="142">
        <v>6420</v>
      </c>
      <c r="V54" s="142">
        <v>6420</v>
      </c>
      <c r="W54" s="143">
        <v>100</v>
      </c>
      <c r="X54" s="142">
        <v>6277</v>
      </c>
      <c r="Y54" s="142">
        <v>2803</v>
      </c>
      <c r="Z54" s="143">
        <v>44.6550900111518</v>
      </c>
      <c r="AA54" s="142">
        <v>10002</v>
      </c>
      <c r="AB54" s="142">
        <v>10002</v>
      </c>
      <c r="AC54" s="143">
        <v>100</v>
      </c>
      <c r="AD54" s="142">
        <v>9460</v>
      </c>
      <c r="AE54" s="142">
        <v>1067</v>
      </c>
      <c r="AF54" s="143">
        <v>11.2790697674419</v>
      </c>
      <c r="AJ54" s="139">
        <v>20</v>
      </c>
      <c r="AK54" s="139" t="s">
        <v>32</v>
      </c>
      <c r="AL54" s="139">
        <v>0</v>
      </c>
      <c r="AM54" s="139">
        <v>33</v>
      </c>
      <c r="AN54" s="139">
        <v>595</v>
      </c>
      <c r="AO54" s="139">
        <v>2628</v>
      </c>
      <c r="AP54" s="139">
        <v>3561</v>
      </c>
    </row>
    <row r="55" spans="2:42">
      <c r="B55" s="140" t="s">
        <v>33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33</v>
      </c>
      <c r="J55" s="140">
        <v>33</v>
      </c>
      <c r="K55" s="141">
        <v>100</v>
      </c>
      <c r="L55" s="140">
        <v>33</v>
      </c>
      <c r="M55" s="140">
        <v>33</v>
      </c>
      <c r="N55" s="141">
        <v>100</v>
      </c>
      <c r="O55" s="140">
        <v>1070</v>
      </c>
      <c r="P55" s="140">
        <v>1057</v>
      </c>
      <c r="Q55" s="141">
        <v>98.785046728972</v>
      </c>
      <c r="R55" s="140">
        <v>1062</v>
      </c>
      <c r="S55" s="140">
        <v>1054</v>
      </c>
      <c r="T55" s="141">
        <v>99.2467043314501</v>
      </c>
      <c r="U55" s="140">
        <v>4351</v>
      </c>
      <c r="V55" s="140">
        <v>4351</v>
      </c>
      <c r="W55" s="141">
        <v>100</v>
      </c>
      <c r="X55" s="140">
        <v>4340</v>
      </c>
      <c r="Y55" s="140">
        <v>4324</v>
      </c>
      <c r="Z55" s="141">
        <v>99.63133640553</v>
      </c>
      <c r="AA55" s="140">
        <v>9417</v>
      </c>
      <c r="AB55" s="140">
        <v>9417</v>
      </c>
      <c r="AC55" s="141">
        <v>100</v>
      </c>
      <c r="AD55" s="140">
        <v>9284</v>
      </c>
      <c r="AE55" s="140">
        <v>9038</v>
      </c>
      <c r="AF55" s="141">
        <v>97.3502800517019</v>
      </c>
      <c r="AJ55" s="139">
        <v>21</v>
      </c>
      <c r="AK55" s="139" t="s">
        <v>33</v>
      </c>
      <c r="AL55" s="139">
        <v>0</v>
      </c>
      <c r="AM55" s="139">
        <v>19</v>
      </c>
      <c r="AN55" s="139">
        <v>458</v>
      </c>
      <c r="AO55" s="139">
        <v>1819</v>
      </c>
      <c r="AP55" s="139">
        <v>3198</v>
      </c>
    </row>
    <row r="56" spans="2:42">
      <c r="B56" s="142" t="s">
        <v>34</v>
      </c>
      <c r="C56" s="142">
        <v>1</v>
      </c>
      <c r="D56" s="142">
        <v>1</v>
      </c>
      <c r="E56" s="142">
        <v>100</v>
      </c>
      <c r="F56" s="142">
        <v>1</v>
      </c>
      <c r="G56" s="142">
        <v>1</v>
      </c>
      <c r="H56" s="142">
        <v>100</v>
      </c>
      <c r="I56" s="142">
        <v>468</v>
      </c>
      <c r="J56" s="142">
        <v>468</v>
      </c>
      <c r="K56" s="143">
        <v>100</v>
      </c>
      <c r="L56" s="142">
        <v>468</v>
      </c>
      <c r="M56" s="142">
        <v>464</v>
      </c>
      <c r="N56" s="143">
        <v>99.1452991452991</v>
      </c>
      <c r="O56" s="142">
        <v>558</v>
      </c>
      <c r="P56" s="142">
        <v>558</v>
      </c>
      <c r="Q56" s="143">
        <v>100</v>
      </c>
      <c r="R56" s="142">
        <v>557</v>
      </c>
      <c r="S56" s="142">
        <v>557</v>
      </c>
      <c r="T56" s="143">
        <v>100</v>
      </c>
      <c r="U56" s="142">
        <v>58</v>
      </c>
      <c r="V56" s="142">
        <v>58</v>
      </c>
      <c r="W56" s="143">
        <v>100</v>
      </c>
      <c r="X56" s="142">
        <v>57</v>
      </c>
      <c r="Y56" s="142">
        <v>48</v>
      </c>
      <c r="Z56" s="143">
        <v>84.2105263157895</v>
      </c>
      <c r="AA56" s="142">
        <v>41</v>
      </c>
      <c r="AB56" s="142">
        <v>41</v>
      </c>
      <c r="AC56" s="143">
        <v>100</v>
      </c>
      <c r="AD56" s="142">
        <v>41</v>
      </c>
      <c r="AE56" s="142">
        <v>35</v>
      </c>
      <c r="AF56" s="143">
        <v>85.3658536585366</v>
      </c>
      <c r="AJ56" s="139">
        <v>22</v>
      </c>
      <c r="AK56" s="139" t="s">
        <v>61</v>
      </c>
      <c r="AL56" s="139">
        <v>1</v>
      </c>
      <c r="AM56" s="139">
        <v>137</v>
      </c>
      <c r="AN56" s="139">
        <v>81</v>
      </c>
      <c r="AO56" s="139">
        <v>17</v>
      </c>
      <c r="AP56" s="139">
        <v>15</v>
      </c>
    </row>
  </sheetData>
  <sortState ref="AJ62:AO83">
    <sortCondition ref="AJ62:AJ83" customList="深圳,广州,东莞,佛山,中山,惠州,江门,珠海,汕头,揭阳,潮州,汕尾,茂名,湛江,阳江,云浮,清远,肇庆,梅州,韶关,河源"/>
  </sortState>
  <mergeCells count="16">
    <mergeCell ref="C5:J5"/>
    <mergeCell ref="K5:R5"/>
    <mergeCell ref="S5:Z5"/>
    <mergeCell ref="AA5:AH5"/>
    <mergeCell ref="AI5:AP5"/>
    <mergeCell ref="AW5:BA5"/>
    <mergeCell ref="BB5:BF5"/>
    <mergeCell ref="BG5:BK5"/>
    <mergeCell ref="C32:H32"/>
    <mergeCell ref="I32:N32"/>
    <mergeCell ref="O32:T32"/>
    <mergeCell ref="U32:Z32"/>
    <mergeCell ref="AA32:AF32"/>
    <mergeCell ref="B5:B6"/>
    <mergeCell ref="B32:B33"/>
    <mergeCell ref="AV5:AV6"/>
  </mergeCells>
  <conditionalFormatting sqref="M8:M28">
    <cfRule type="top10" dxfId="0" priority="170" bottom="1" rank="5"/>
    <cfRule type="top10" dxfId="1" priority="169" rank="5"/>
  </conditionalFormatting>
  <conditionalFormatting sqref="P8:P28">
    <cfRule type="top10" dxfId="0" priority="168" bottom="1" rank="5"/>
    <cfRule type="top10" dxfId="1" priority="167" rank="5"/>
  </conditionalFormatting>
  <conditionalFormatting sqref="R8:R28">
    <cfRule type="top10" dxfId="0" priority="142" bottom="1" rank="5"/>
    <cfRule type="top10" dxfId="1" priority="141" rank="5"/>
  </conditionalFormatting>
  <conditionalFormatting sqref="U8:U28">
    <cfRule type="top10" dxfId="0" priority="164" bottom="1" rank="5"/>
    <cfRule type="top10" dxfId="1" priority="163" rank="5"/>
  </conditionalFormatting>
  <conditionalFormatting sqref="X8:X28">
    <cfRule type="top10" dxfId="0" priority="166" bottom="1" rank="5"/>
    <cfRule type="top10" dxfId="1" priority="165" rank="5"/>
  </conditionalFormatting>
  <conditionalFormatting sqref="Z8:Z28">
    <cfRule type="top10" dxfId="0" priority="140" bottom="1" rank="5"/>
    <cfRule type="top10" dxfId="1" priority="139" rank="5"/>
  </conditionalFormatting>
  <conditionalFormatting sqref="BC8:BC28">
    <cfRule type="top10" dxfId="2" priority="12" rank="5"/>
    <cfRule type="top10" dxfId="3" priority="11" bottom="1" rank="5"/>
  </conditionalFormatting>
  <conditionalFormatting sqref="BD8:BD28">
    <cfRule type="top10" dxfId="2" priority="10" rank="5"/>
    <cfRule type="top10" dxfId="3" priority="9" bottom="1" rank="5"/>
  </conditionalFormatting>
  <conditionalFormatting sqref="BF8:BF28">
    <cfRule type="top10" dxfId="2" priority="8" rank="5"/>
    <cfRule type="top10" dxfId="3" priority="7" bottom="1" rank="5"/>
  </conditionalFormatting>
  <conditionalFormatting sqref="BH8:BH28">
    <cfRule type="top10" dxfId="2" priority="6" rank="5"/>
    <cfRule type="top10" dxfId="3" priority="5" bottom="1" rank="5"/>
  </conditionalFormatting>
  <conditionalFormatting sqref="BI8:BI28">
    <cfRule type="top10" dxfId="2" priority="4" rank="5"/>
    <cfRule type="top10" dxfId="3" priority="3" bottom="1" rank="5"/>
  </conditionalFormatting>
  <conditionalFormatting sqref="BK8:BK28">
    <cfRule type="top10" dxfId="2" priority="2" rank="5"/>
    <cfRule type="top10" dxfId="3" priority="1" bottom="1" rank="5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82"/>
  <sheetViews>
    <sheetView zoomScale="55" zoomScaleNormal="55" workbookViewId="0">
      <selection activeCell="AA4" sqref="AA4"/>
    </sheetView>
  </sheetViews>
  <sheetFormatPr defaultColWidth="8.72727272727273" defaultRowHeight="14"/>
  <cols>
    <col min="4" max="4" width="12.8181818181818"/>
    <col min="5" max="5" width="9.27272727272727"/>
    <col min="6" max="6" width="9.45454545454546"/>
    <col min="8" max="8" width="9.72727272727273" customWidth="1"/>
    <col min="12" max="12" width="9.54545454545454"/>
    <col min="14" max="14" width="9.54545454545454"/>
    <col min="19" max="19" width="13.2727272727273" customWidth="1"/>
    <col min="21" max="21" width="12.8181818181818"/>
    <col min="26" max="26" width="7.9" customWidth="1"/>
    <col min="27" max="27" width="15.5" customWidth="1"/>
  </cols>
  <sheetData>
    <row r="1" customHeight="1" spans="2:39">
      <c r="B1" s="1"/>
      <c r="C1" s="2" t="s">
        <v>2</v>
      </c>
      <c r="D1" s="2"/>
      <c r="E1" s="2"/>
      <c r="F1" s="2"/>
      <c r="G1" s="2" t="s">
        <v>3</v>
      </c>
      <c r="H1" s="2"/>
      <c r="I1" s="2"/>
      <c r="J1" s="2"/>
      <c r="K1" s="2" t="s">
        <v>62</v>
      </c>
      <c r="L1" s="2"/>
      <c r="M1" s="2"/>
      <c r="N1" s="2"/>
    </row>
    <row r="2" ht="14.75" spans="2:39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7.25" customHeight="1" spans="2:39">
      <c r="B3" s="1" t="s">
        <v>63</v>
      </c>
      <c r="C3" s="4" t="s">
        <v>6</v>
      </c>
      <c r="D3" s="5" t="s">
        <v>64</v>
      </c>
      <c r="E3" s="4" t="s">
        <v>65</v>
      </c>
      <c r="F3" s="6" t="s">
        <v>66</v>
      </c>
      <c r="G3" s="4" t="s">
        <v>6</v>
      </c>
      <c r="H3" s="5" t="s">
        <v>64</v>
      </c>
      <c r="I3" s="4" t="s">
        <v>65</v>
      </c>
      <c r="J3" s="6" t="s">
        <v>66</v>
      </c>
      <c r="K3" s="4" t="s">
        <v>6</v>
      </c>
      <c r="L3" s="7" t="s">
        <v>64</v>
      </c>
      <c r="M3" s="4" t="s">
        <v>65</v>
      </c>
      <c r="N3" s="8" t="s">
        <v>11</v>
      </c>
    </row>
    <row r="4" ht="18.25" spans="2:39">
      <c r="B4" s="9"/>
      <c r="C4" s="4"/>
      <c r="D4" s="3"/>
      <c r="E4" s="4"/>
      <c r="F4" s="6"/>
      <c r="G4" s="4"/>
      <c r="H4" s="3"/>
      <c r="I4" s="4"/>
      <c r="J4" s="6"/>
      <c r="K4" s="4"/>
      <c r="L4" s="10"/>
      <c r="M4" s="4"/>
      <c r="N4" s="8"/>
      <c r="AA4" s="85" t="s">
        <v>67</v>
      </c>
    </row>
    <row r="5" ht="23.25" spans="2:39">
      <c r="B5" s="12"/>
      <c r="C5" s="4"/>
      <c r="D5" s="4" t="s">
        <v>68</v>
      </c>
      <c r="E5" s="4"/>
      <c r="F5" s="6"/>
      <c r="G5" s="4"/>
      <c r="H5" s="4" t="s">
        <v>68</v>
      </c>
      <c r="I5" s="4"/>
      <c r="J5" s="6"/>
      <c r="K5" s="4"/>
      <c r="L5" s="8" t="s">
        <v>68</v>
      </c>
      <c r="M5" s="4"/>
      <c r="N5" s="8"/>
      <c r="Q5" t="s">
        <v>69</v>
      </c>
      <c r="R5" t="s">
        <v>70</v>
      </c>
      <c r="S5" t="s">
        <v>71</v>
      </c>
      <c r="T5" t="s">
        <v>72</v>
      </c>
      <c r="U5" t="s">
        <v>64</v>
      </c>
      <c r="V5" t="s">
        <v>73</v>
      </c>
      <c r="W5" t="s">
        <v>74</v>
      </c>
      <c r="AA5" s="13" t="s">
        <v>0</v>
      </c>
      <c r="AB5" s="14" t="s">
        <v>2</v>
      </c>
      <c r="AC5" s="14"/>
      <c r="AD5" s="14"/>
      <c r="AE5" s="14"/>
      <c r="AF5" s="14" t="s">
        <v>3</v>
      </c>
      <c r="AG5" s="14"/>
      <c r="AH5" s="14"/>
      <c r="AI5" s="14"/>
      <c r="AJ5" s="14" t="s">
        <v>62</v>
      </c>
      <c r="AK5" s="14"/>
      <c r="AL5" s="14"/>
      <c r="AM5" s="14"/>
    </row>
    <row r="6" ht="35" customHeight="1" spans="2:39">
      <c r="B6" s="15" t="s">
        <v>75</v>
      </c>
      <c r="C6" s="16">
        <f>O35</f>
        <v>2384</v>
      </c>
      <c r="D6" s="17">
        <f>E35*100</f>
        <v>98.5318791946309</v>
      </c>
      <c r="E6" s="16">
        <f>Q35</f>
        <v>2365</v>
      </c>
      <c r="F6" s="17">
        <f>S35*100</f>
        <v>99.3280134397312</v>
      </c>
      <c r="G6" s="16">
        <f>O36</f>
        <v>39651</v>
      </c>
      <c r="H6" s="17">
        <f>E36*100</f>
        <v>96.3229174547931</v>
      </c>
      <c r="I6" s="16">
        <f>Q36</f>
        <v>36621</v>
      </c>
      <c r="J6" s="17">
        <f>S36*100</f>
        <v>92.8312504752972</v>
      </c>
      <c r="K6" s="16">
        <f t="shared" ref="K6:K29" si="0">C6+G6</f>
        <v>42035</v>
      </c>
      <c r="L6" s="17">
        <f t="shared" ref="L6:L29" si="1">S6/K6*100</f>
        <v>96.4481979302962</v>
      </c>
      <c r="M6" s="16">
        <f t="shared" ref="M6:M29" si="2">E6+I6</f>
        <v>38986</v>
      </c>
      <c r="N6" s="17">
        <f t="shared" ref="N6:N29" si="3">M6/X6*100</f>
        <v>93.2010518766436</v>
      </c>
      <c r="P6">
        <f t="shared" ref="P6:P29" si="4">K6-M6</f>
        <v>3049</v>
      </c>
      <c r="Q6" s="18">
        <f>R35</f>
        <v>2349</v>
      </c>
      <c r="R6" s="18">
        <f>R36</f>
        <v>38193</v>
      </c>
      <c r="S6">
        <f t="shared" ref="S6:S29" si="5">Q6+R6</f>
        <v>40542</v>
      </c>
      <c r="T6">
        <f t="shared" ref="T6:T29" si="6">K6-S6</f>
        <v>1493</v>
      </c>
      <c r="U6" s="19">
        <f t="shared" ref="U6:U29" si="7">S6/K6</f>
        <v>0.964481979302962</v>
      </c>
      <c r="V6" s="18">
        <f>P35</f>
        <v>2381</v>
      </c>
      <c r="W6" s="18">
        <f>P36</f>
        <v>39449</v>
      </c>
      <c r="X6">
        <f t="shared" ref="X6:X29" si="8">V6+W6</f>
        <v>41830</v>
      </c>
      <c r="AA6" s="13"/>
      <c r="AB6" s="20" t="s">
        <v>6</v>
      </c>
      <c r="AC6" s="20" t="s">
        <v>8</v>
      </c>
      <c r="AD6" s="20" t="s">
        <v>76</v>
      </c>
      <c r="AE6" s="20" t="s">
        <v>11</v>
      </c>
      <c r="AF6" s="20" t="s">
        <v>6</v>
      </c>
      <c r="AG6" s="20" t="s">
        <v>8</v>
      </c>
      <c r="AH6" s="20" t="s">
        <v>76</v>
      </c>
      <c r="AI6" s="20" t="s">
        <v>11</v>
      </c>
      <c r="AJ6" s="20" t="s">
        <v>6</v>
      </c>
      <c r="AK6" s="20" t="s">
        <v>8</v>
      </c>
      <c r="AL6" s="20" t="s">
        <v>76</v>
      </c>
      <c r="AM6" s="20" t="s">
        <v>11</v>
      </c>
    </row>
    <row r="7" ht="37.5" customHeight="1" spans="2:39">
      <c r="B7" s="21" t="s">
        <v>77</v>
      </c>
      <c r="C7" s="22">
        <f>O37</f>
        <v>2384</v>
      </c>
      <c r="D7" s="23">
        <f>E37*100</f>
        <v>98.5318791946309</v>
      </c>
      <c r="E7" s="22">
        <f>Q37</f>
        <v>2365</v>
      </c>
      <c r="F7" s="23">
        <f>S37*100</f>
        <v>99.3280134397312</v>
      </c>
      <c r="G7" s="22">
        <f>O38</f>
        <v>40852</v>
      </c>
      <c r="H7" s="23">
        <f>E38*100</f>
        <v>95.8459806129443</v>
      </c>
      <c r="I7" s="22">
        <f>Q38</f>
        <v>37511</v>
      </c>
      <c r="J7" s="23">
        <f>S38*100</f>
        <v>92.3143180587685</v>
      </c>
      <c r="K7" s="22">
        <f t="shared" si="0"/>
        <v>43236</v>
      </c>
      <c r="L7" s="23">
        <f t="shared" si="1"/>
        <v>95.9940790082339</v>
      </c>
      <c r="M7" s="22">
        <f t="shared" si="2"/>
        <v>39876</v>
      </c>
      <c r="N7" s="23">
        <f t="shared" si="3"/>
        <v>92.7025456236197</v>
      </c>
      <c r="P7">
        <f t="shared" si="4"/>
        <v>3360</v>
      </c>
      <c r="Q7" s="18">
        <f>R37</f>
        <v>2349</v>
      </c>
      <c r="R7" s="18">
        <f>R38</f>
        <v>39155</v>
      </c>
      <c r="S7">
        <f t="shared" si="5"/>
        <v>41504</v>
      </c>
      <c r="T7">
        <f t="shared" si="6"/>
        <v>1732</v>
      </c>
      <c r="U7" s="19">
        <f t="shared" si="7"/>
        <v>0.959940790082339</v>
      </c>
      <c r="V7" s="18">
        <f>P37</f>
        <v>2381</v>
      </c>
      <c r="W7" s="18">
        <f>P38</f>
        <v>40634</v>
      </c>
      <c r="X7">
        <f t="shared" si="8"/>
        <v>43015</v>
      </c>
      <c r="Y7" s="19"/>
      <c r="AA7" s="24" t="s">
        <v>12</v>
      </c>
      <c r="AB7" s="24">
        <f>C6</f>
        <v>2384</v>
      </c>
      <c r="AC7" s="25">
        <f>D7</f>
        <v>98.5318791946309</v>
      </c>
      <c r="AD7" s="24">
        <f>E7</f>
        <v>2365</v>
      </c>
      <c r="AE7" s="26">
        <f>F7</f>
        <v>99.3280134397312</v>
      </c>
      <c r="AF7" s="27">
        <f>G7</f>
        <v>40852</v>
      </c>
      <c r="AG7" s="26">
        <f>H7</f>
        <v>95.8459806129443</v>
      </c>
      <c r="AH7" s="27">
        <f>I7</f>
        <v>37511</v>
      </c>
      <c r="AI7" s="26">
        <f>J7</f>
        <v>92.3143180587685</v>
      </c>
      <c r="AJ7" s="27">
        <f>K7</f>
        <v>43236</v>
      </c>
      <c r="AK7" s="28">
        <f>L7</f>
        <v>95.9940790082339</v>
      </c>
      <c r="AL7" s="24">
        <f>M7</f>
        <v>39876</v>
      </c>
      <c r="AM7" s="28">
        <f>N7</f>
        <v>92.7025456236197</v>
      </c>
    </row>
    <row r="8" ht="15.25" spans="2:39">
      <c r="B8" s="29" t="s">
        <v>13</v>
      </c>
      <c r="C8" s="16">
        <f>O39</f>
        <v>474</v>
      </c>
      <c r="D8" s="17">
        <f>E39*100</f>
        <v>100</v>
      </c>
      <c r="E8" s="16">
        <f>Q39</f>
        <v>474</v>
      </c>
      <c r="F8" s="17">
        <f>S39*100</f>
        <v>100</v>
      </c>
      <c r="G8" s="16">
        <f>O40</f>
        <v>4630</v>
      </c>
      <c r="H8" s="17">
        <f>E40*100</f>
        <v>88.0993520518359</v>
      </c>
      <c r="I8" s="16">
        <f>Q40</f>
        <v>3178</v>
      </c>
      <c r="J8" s="17">
        <f>S40*100</f>
        <v>68.8474870017331</v>
      </c>
      <c r="K8" s="16">
        <f t="shared" si="0"/>
        <v>5104</v>
      </c>
      <c r="L8" s="17">
        <f t="shared" si="1"/>
        <v>89.2045454545455</v>
      </c>
      <c r="M8" s="16">
        <f t="shared" si="2"/>
        <v>3652</v>
      </c>
      <c r="N8" s="17">
        <f t="shared" si="3"/>
        <v>71.7485265225933</v>
      </c>
      <c r="P8">
        <f t="shared" si="4"/>
        <v>1452</v>
      </c>
      <c r="Q8" s="18">
        <f>R39</f>
        <v>474</v>
      </c>
      <c r="R8" s="18">
        <f>R40</f>
        <v>4079</v>
      </c>
      <c r="S8">
        <f t="shared" si="5"/>
        <v>4553</v>
      </c>
      <c r="T8">
        <f t="shared" si="6"/>
        <v>551</v>
      </c>
      <c r="U8" s="19">
        <f t="shared" si="7"/>
        <v>0.892045454545455</v>
      </c>
      <c r="V8" s="18">
        <f>P39</f>
        <v>474</v>
      </c>
      <c r="W8" s="18">
        <f>P40</f>
        <v>4616</v>
      </c>
      <c r="X8">
        <f t="shared" si="8"/>
        <v>5090</v>
      </c>
      <c r="Y8" s="19"/>
      <c r="AA8" s="30" t="s">
        <v>13</v>
      </c>
      <c r="AB8" s="31">
        <f>C8</f>
        <v>474</v>
      </c>
      <c r="AC8" s="32">
        <f>D8</f>
        <v>100</v>
      </c>
      <c r="AD8" s="31">
        <f>E8</f>
        <v>474</v>
      </c>
      <c r="AE8" s="32">
        <f>F8</f>
        <v>100</v>
      </c>
      <c r="AF8" s="31">
        <f>G8</f>
        <v>4630</v>
      </c>
      <c r="AG8" s="32">
        <f>H8</f>
        <v>88.0993520518359</v>
      </c>
      <c r="AH8" s="31">
        <f>I8</f>
        <v>3178</v>
      </c>
      <c r="AI8" s="32">
        <f>J8</f>
        <v>68.8474870017331</v>
      </c>
      <c r="AJ8" s="31">
        <f>K8</f>
        <v>5104</v>
      </c>
      <c r="AK8" s="32">
        <f>L8</f>
        <v>89.2045454545455</v>
      </c>
      <c r="AL8" s="31">
        <f>M8</f>
        <v>3652</v>
      </c>
      <c r="AM8" s="32">
        <f>N8</f>
        <v>71.7485265225933</v>
      </c>
    </row>
    <row r="9" ht="15.25" spans="2:39">
      <c r="B9" s="33" t="s">
        <v>14</v>
      </c>
      <c r="C9" s="22">
        <f>O41</f>
        <v>360</v>
      </c>
      <c r="D9" s="34">
        <f>E41*100</f>
        <v>100</v>
      </c>
      <c r="E9" s="22">
        <f>Q41</f>
        <v>360</v>
      </c>
      <c r="F9" s="34">
        <f>S41*100</f>
        <v>100</v>
      </c>
      <c r="G9" s="22">
        <f>O42</f>
        <v>3617</v>
      </c>
      <c r="H9" s="34">
        <f>E42*100</f>
        <v>99.1429361349184</v>
      </c>
      <c r="I9" s="22">
        <f>Q42</f>
        <v>3554</v>
      </c>
      <c r="J9" s="34">
        <f>S42*100</f>
        <v>98.6674069961133</v>
      </c>
      <c r="K9" s="22">
        <f t="shared" si="0"/>
        <v>3977</v>
      </c>
      <c r="L9" s="34">
        <f t="shared" si="1"/>
        <v>99.2205179783757</v>
      </c>
      <c r="M9" s="22">
        <f t="shared" si="2"/>
        <v>3914</v>
      </c>
      <c r="N9" s="34">
        <f t="shared" si="3"/>
        <v>98.7884906612822</v>
      </c>
      <c r="P9">
        <f t="shared" si="4"/>
        <v>63</v>
      </c>
      <c r="Q9" s="18">
        <f>R41</f>
        <v>360</v>
      </c>
      <c r="R9" s="18">
        <f>R42</f>
        <v>3586</v>
      </c>
      <c r="S9">
        <f t="shared" si="5"/>
        <v>3946</v>
      </c>
      <c r="T9">
        <f t="shared" si="6"/>
        <v>31</v>
      </c>
      <c r="U9" s="19">
        <f t="shared" si="7"/>
        <v>0.992205179783757</v>
      </c>
      <c r="V9" s="18">
        <f>P41</f>
        <v>360</v>
      </c>
      <c r="W9" s="18">
        <f>P42</f>
        <v>3602</v>
      </c>
      <c r="X9">
        <f t="shared" si="8"/>
        <v>3962</v>
      </c>
      <c r="Y9" s="19"/>
      <c r="AA9" s="30" t="s">
        <v>14</v>
      </c>
      <c r="AB9" s="31">
        <f>C9</f>
        <v>360</v>
      </c>
      <c r="AC9" s="32">
        <f t="shared" ref="AC9:AC29" si="9">D9</f>
        <v>100</v>
      </c>
      <c r="AD9" s="31">
        <f t="shared" ref="AD9:AD29" si="10">E9</f>
        <v>360</v>
      </c>
      <c r="AE9" s="32">
        <f t="shared" ref="AE9:AE29" si="11">F9</f>
        <v>100</v>
      </c>
      <c r="AF9" s="31">
        <f t="shared" ref="AF9:AF29" si="12">G9</f>
        <v>3617</v>
      </c>
      <c r="AG9" s="32">
        <f t="shared" ref="AG9:AG29" si="13">H9</f>
        <v>99.1429361349184</v>
      </c>
      <c r="AH9" s="31">
        <f t="shared" ref="AH9:AH29" si="14">I9</f>
        <v>3554</v>
      </c>
      <c r="AI9" s="32">
        <f t="shared" ref="AI9:AI29" si="15">J9</f>
        <v>98.6674069961133</v>
      </c>
      <c r="AJ9" s="31">
        <f t="shared" ref="AJ9:AJ29" si="16">K9</f>
        <v>3977</v>
      </c>
      <c r="AK9" s="32">
        <f t="shared" ref="AK9:AK29" si="17">L9</f>
        <v>99.2205179783757</v>
      </c>
      <c r="AL9" s="31">
        <f t="shared" ref="AL9:AL29" si="18">M9</f>
        <v>3914</v>
      </c>
      <c r="AM9" s="32">
        <f t="shared" ref="AM9:AM29" si="19">N9</f>
        <v>98.7884906612822</v>
      </c>
    </row>
    <row r="10" ht="15.25" spans="2:39">
      <c r="B10" s="29" t="s">
        <v>15</v>
      </c>
      <c r="C10" s="16">
        <f>O43</f>
        <v>371</v>
      </c>
      <c r="D10" s="17">
        <f>E43*100</f>
        <v>99.7304582210242</v>
      </c>
      <c r="E10" s="16">
        <f>Q43</f>
        <v>370</v>
      </c>
      <c r="F10" s="17">
        <f>S43*100</f>
        <v>99.7304582210242</v>
      </c>
      <c r="G10" s="16">
        <f>O44</f>
        <v>9867</v>
      </c>
      <c r="H10" s="17">
        <f>E44*100</f>
        <v>98.8243640417553</v>
      </c>
      <c r="I10" s="16">
        <f>Q44</f>
        <v>9689</v>
      </c>
      <c r="J10" s="17">
        <f>S44*100</f>
        <v>98.5957057087616</v>
      </c>
      <c r="K10" s="16">
        <f t="shared" si="0"/>
        <v>10238</v>
      </c>
      <c r="L10" s="17">
        <f t="shared" si="1"/>
        <v>98.8571986716155</v>
      </c>
      <c r="M10" s="16">
        <f t="shared" si="2"/>
        <v>10059</v>
      </c>
      <c r="N10" s="17">
        <f t="shared" si="3"/>
        <v>98.6369876446362</v>
      </c>
      <c r="P10">
        <f t="shared" si="4"/>
        <v>179</v>
      </c>
      <c r="Q10" s="18">
        <f>R43</f>
        <v>370</v>
      </c>
      <c r="R10" s="18">
        <f>R44</f>
        <v>9751</v>
      </c>
      <c r="S10">
        <f t="shared" si="5"/>
        <v>10121</v>
      </c>
      <c r="T10">
        <f t="shared" si="6"/>
        <v>117</v>
      </c>
      <c r="U10" s="19">
        <f t="shared" si="7"/>
        <v>0.988571986716156</v>
      </c>
      <c r="V10" s="18">
        <f>P43</f>
        <v>371</v>
      </c>
      <c r="W10" s="18">
        <f>P44</f>
        <v>9827</v>
      </c>
      <c r="X10">
        <f t="shared" si="8"/>
        <v>10198</v>
      </c>
      <c r="Y10" s="19"/>
      <c r="AA10" s="30" t="s">
        <v>15</v>
      </c>
      <c r="AB10" s="31">
        <f>C10</f>
        <v>371</v>
      </c>
      <c r="AC10" s="32">
        <f t="shared" si="9"/>
        <v>99.7304582210242</v>
      </c>
      <c r="AD10" s="31">
        <f t="shared" si="10"/>
        <v>370</v>
      </c>
      <c r="AE10" s="32">
        <f t="shared" si="11"/>
        <v>99.7304582210242</v>
      </c>
      <c r="AF10" s="31">
        <f t="shared" si="12"/>
        <v>9867</v>
      </c>
      <c r="AG10" s="32">
        <f t="shared" si="13"/>
        <v>98.8243640417553</v>
      </c>
      <c r="AH10" s="31">
        <f t="shared" si="14"/>
        <v>9689</v>
      </c>
      <c r="AI10" s="32">
        <f t="shared" si="15"/>
        <v>98.5957057087616</v>
      </c>
      <c r="AJ10" s="31">
        <f t="shared" si="16"/>
        <v>10238</v>
      </c>
      <c r="AK10" s="32">
        <f t="shared" si="17"/>
        <v>98.8571986716155</v>
      </c>
      <c r="AL10" s="31">
        <f t="shared" si="18"/>
        <v>10059</v>
      </c>
      <c r="AM10" s="32">
        <f t="shared" si="19"/>
        <v>98.6369876446362</v>
      </c>
    </row>
    <row r="11" ht="15.25" spans="2:39">
      <c r="B11" s="33" t="s">
        <v>16</v>
      </c>
      <c r="C11" s="22">
        <f>O45</f>
        <v>321</v>
      </c>
      <c r="D11" s="34">
        <f>E45*100</f>
        <v>99.6884735202492</v>
      </c>
      <c r="E11" s="22">
        <f>Q45</f>
        <v>319</v>
      </c>
      <c r="F11" s="34">
        <f>S45*100</f>
        <v>99.3769470404984</v>
      </c>
      <c r="G11" s="22">
        <f>O46</f>
        <v>6149</v>
      </c>
      <c r="H11" s="34">
        <f>E46*100</f>
        <v>92.9582045861116</v>
      </c>
      <c r="I11" s="22">
        <f>Q46</f>
        <v>5815</v>
      </c>
      <c r="J11" s="34">
        <f>S46*100</f>
        <v>95.0629393493543</v>
      </c>
      <c r="K11" s="22">
        <f t="shared" si="0"/>
        <v>6470</v>
      </c>
      <c r="L11" s="34">
        <f t="shared" si="1"/>
        <v>93.2921174652241</v>
      </c>
      <c r="M11" s="22">
        <f t="shared" si="2"/>
        <v>6134</v>
      </c>
      <c r="N11" s="34">
        <f t="shared" si="3"/>
        <v>95.278036657347</v>
      </c>
      <c r="P11">
        <f t="shared" si="4"/>
        <v>336</v>
      </c>
      <c r="Q11" s="18">
        <f>R45</f>
        <v>320</v>
      </c>
      <c r="R11" s="18">
        <f>R46</f>
        <v>5716</v>
      </c>
      <c r="S11">
        <f t="shared" si="5"/>
        <v>6036</v>
      </c>
      <c r="T11">
        <f t="shared" si="6"/>
        <v>434</v>
      </c>
      <c r="U11" s="19">
        <f t="shared" si="7"/>
        <v>0.932921174652241</v>
      </c>
      <c r="V11" s="18">
        <f>P45</f>
        <v>321</v>
      </c>
      <c r="W11" s="18">
        <f>P46</f>
        <v>6117</v>
      </c>
      <c r="X11">
        <f t="shared" si="8"/>
        <v>6438</v>
      </c>
      <c r="Y11" s="19"/>
      <c r="AA11" s="30" t="s">
        <v>16</v>
      </c>
      <c r="AB11" s="31">
        <f>C11</f>
        <v>321</v>
      </c>
      <c r="AC11" s="32">
        <f t="shared" si="9"/>
        <v>99.6884735202492</v>
      </c>
      <c r="AD11" s="31">
        <f t="shared" si="10"/>
        <v>319</v>
      </c>
      <c r="AE11" s="32">
        <f t="shared" si="11"/>
        <v>99.3769470404984</v>
      </c>
      <c r="AF11" s="31">
        <f t="shared" si="12"/>
        <v>6149</v>
      </c>
      <c r="AG11" s="32">
        <f t="shared" si="13"/>
        <v>92.9582045861116</v>
      </c>
      <c r="AH11" s="31">
        <f t="shared" si="14"/>
        <v>5815</v>
      </c>
      <c r="AI11" s="32">
        <f t="shared" si="15"/>
        <v>95.0629393493543</v>
      </c>
      <c r="AJ11" s="31">
        <f t="shared" si="16"/>
        <v>6470</v>
      </c>
      <c r="AK11" s="32">
        <f t="shared" si="17"/>
        <v>93.2921174652241</v>
      </c>
      <c r="AL11" s="31">
        <f t="shared" si="18"/>
        <v>6134</v>
      </c>
      <c r="AM11" s="32">
        <f t="shared" si="19"/>
        <v>95.278036657347</v>
      </c>
    </row>
    <row r="12" ht="15.25" spans="2:39">
      <c r="B12" s="29" t="s">
        <v>17</v>
      </c>
      <c r="C12" s="16">
        <f>O47</f>
        <v>153</v>
      </c>
      <c r="D12" s="17">
        <f>E47*100</f>
        <v>99.3464052287582</v>
      </c>
      <c r="E12" s="16">
        <f>Q47</f>
        <v>152</v>
      </c>
      <c r="F12" s="17">
        <f>S47*100</f>
        <v>99.3464052287582</v>
      </c>
      <c r="G12" s="16">
        <f>O48</f>
        <v>3827</v>
      </c>
      <c r="H12" s="17">
        <f>E48*100</f>
        <v>96.9427750195976</v>
      </c>
      <c r="I12" s="16">
        <f>Q48</f>
        <v>3662</v>
      </c>
      <c r="J12" s="17">
        <f>S48*100</f>
        <v>95.9392192821588</v>
      </c>
      <c r="K12" s="16">
        <f t="shared" si="0"/>
        <v>3980</v>
      </c>
      <c r="L12" s="17">
        <f t="shared" si="1"/>
        <v>97.035175879397</v>
      </c>
      <c r="M12" s="16">
        <f t="shared" si="2"/>
        <v>3814</v>
      </c>
      <c r="N12" s="17">
        <f t="shared" si="3"/>
        <v>96.0705289672544</v>
      </c>
      <c r="P12">
        <f t="shared" si="4"/>
        <v>166</v>
      </c>
      <c r="Q12" s="18">
        <f>R47</f>
        <v>152</v>
      </c>
      <c r="R12" s="18">
        <f>R48</f>
        <v>3710</v>
      </c>
      <c r="S12">
        <f t="shared" si="5"/>
        <v>3862</v>
      </c>
      <c r="T12">
        <f t="shared" si="6"/>
        <v>118</v>
      </c>
      <c r="U12" s="19">
        <f t="shared" si="7"/>
        <v>0.97035175879397</v>
      </c>
      <c r="V12" s="18">
        <f>P47</f>
        <v>153</v>
      </c>
      <c r="W12" s="18">
        <f>P48</f>
        <v>3817</v>
      </c>
      <c r="X12">
        <f t="shared" si="8"/>
        <v>3970</v>
      </c>
      <c r="Y12" s="19"/>
      <c r="AA12" s="35" t="s">
        <v>17</v>
      </c>
      <c r="AB12" s="36">
        <f>C12</f>
        <v>153</v>
      </c>
      <c r="AC12" s="37">
        <f t="shared" si="9"/>
        <v>99.3464052287582</v>
      </c>
      <c r="AD12" s="36">
        <f t="shared" si="10"/>
        <v>152</v>
      </c>
      <c r="AE12" s="37">
        <f t="shared" si="11"/>
        <v>99.3464052287582</v>
      </c>
      <c r="AF12" s="36">
        <f t="shared" si="12"/>
        <v>3827</v>
      </c>
      <c r="AG12" s="37">
        <f t="shared" si="13"/>
        <v>96.9427750195976</v>
      </c>
      <c r="AH12" s="36">
        <f t="shared" si="14"/>
        <v>3662</v>
      </c>
      <c r="AI12" s="37">
        <f t="shared" si="15"/>
        <v>95.9392192821588</v>
      </c>
      <c r="AJ12" s="36">
        <f t="shared" si="16"/>
        <v>3980</v>
      </c>
      <c r="AK12" s="37">
        <f t="shared" si="17"/>
        <v>97.035175879397</v>
      </c>
      <c r="AL12" s="36">
        <f t="shared" si="18"/>
        <v>3814</v>
      </c>
      <c r="AM12" s="37">
        <f t="shared" si="19"/>
        <v>96.0705289672544</v>
      </c>
    </row>
    <row r="13" ht="15.25" spans="2:39">
      <c r="B13" s="33" t="s">
        <v>18</v>
      </c>
      <c r="C13" s="22">
        <f>O49</f>
        <v>116</v>
      </c>
      <c r="D13" s="34">
        <f>E49*100</f>
        <v>87.0689655172414</v>
      </c>
      <c r="E13" s="22">
        <f>Q49</f>
        <v>116</v>
      </c>
      <c r="F13" s="34">
        <f>S49*100</f>
        <v>100</v>
      </c>
      <c r="G13" s="22">
        <f>O50</f>
        <v>2642</v>
      </c>
      <c r="H13" s="34">
        <f>E50*100</f>
        <v>96.5934897804693</v>
      </c>
      <c r="I13" s="22">
        <f>Q50</f>
        <v>2617</v>
      </c>
      <c r="J13" s="34">
        <f>S50*100</f>
        <v>99.4678829342455</v>
      </c>
      <c r="K13" s="22">
        <f t="shared" si="0"/>
        <v>2758</v>
      </c>
      <c r="L13" s="34">
        <f t="shared" si="1"/>
        <v>96.1928934010152</v>
      </c>
      <c r="M13" s="22">
        <f t="shared" si="2"/>
        <v>2733</v>
      </c>
      <c r="N13" s="34">
        <f t="shared" si="3"/>
        <v>99.4903531124863</v>
      </c>
      <c r="P13">
        <f t="shared" si="4"/>
        <v>25</v>
      </c>
      <c r="Q13" s="18">
        <f>R49</f>
        <v>101</v>
      </c>
      <c r="R13" s="18">
        <f>R50</f>
        <v>2552</v>
      </c>
      <c r="S13">
        <f t="shared" si="5"/>
        <v>2653</v>
      </c>
      <c r="T13">
        <f t="shared" si="6"/>
        <v>105</v>
      </c>
      <c r="U13" s="19">
        <f t="shared" si="7"/>
        <v>0.961928934010152</v>
      </c>
      <c r="V13" s="18">
        <f>P49</f>
        <v>116</v>
      </c>
      <c r="W13" s="18">
        <f>P50</f>
        <v>2631</v>
      </c>
      <c r="X13">
        <f t="shared" si="8"/>
        <v>2747</v>
      </c>
      <c r="Y13" s="19"/>
      <c r="AA13" s="35" t="s">
        <v>18</v>
      </c>
      <c r="AB13" s="36">
        <f>C13</f>
        <v>116</v>
      </c>
      <c r="AC13" s="37">
        <f t="shared" si="9"/>
        <v>87.0689655172414</v>
      </c>
      <c r="AD13" s="36">
        <f t="shared" si="10"/>
        <v>116</v>
      </c>
      <c r="AE13" s="37">
        <f t="shared" si="11"/>
        <v>100</v>
      </c>
      <c r="AF13" s="36">
        <f t="shared" si="12"/>
        <v>2642</v>
      </c>
      <c r="AG13" s="37">
        <f t="shared" si="13"/>
        <v>96.5934897804693</v>
      </c>
      <c r="AH13" s="36">
        <f t="shared" si="14"/>
        <v>2617</v>
      </c>
      <c r="AI13" s="37">
        <f t="shared" si="15"/>
        <v>99.4678829342455</v>
      </c>
      <c r="AJ13" s="36">
        <f t="shared" si="16"/>
        <v>2758</v>
      </c>
      <c r="AK13" s="37">
        <f t="shared" si="17"/>
        <v>96.1928934010152</v>
      </c>
      <c r="AL13" s="36">
        <f t="shared" si="18"/>
        <v>2733</v>
      </c>
      <c r="AM13" s="37">
        <f t="shared" si="19"/>
        <v>99.4903531124863</v>
      </c>
    </row>
    <row r="14" ht="15.25" spans="2:39">
      <c r="B14" s="29" t="s">
        <v>19</v>
      </c>
      <c r="C14" s="16">
        <f>O51</f>
        <v>120</v>
      </c>
      <c r="D14" s="17">
        <f>E51*100</f>
        <v>100</v>
      </c>
      <c r="E14" s="16">
        <f>Q51</f>
        <v>112</v>
      </c>
      <c r="F14" s="17">
        <f>S51*100</f>
        <v>95.7264957264957</v>
      </c>
      <c r="G14" s="16">
        <f>O52</f>
        <v>2462</v>
      </c>
      <c r="H14" s="17">
        <f>E52*100</f>
        <v>98.7814784727864</v>
      </c>
      <c r="I14" s="16">
        <f>Q52</f>
        <v>2152</v>
      </c>
      <c r="J14" s="17">
        <f>S52*100</f>
        <v>88.2328823288233</v>
      </c>
      <c r="K14" s="16">
        <f t="shared" si="0"/>
        <v>2582</v>
      </c>
      <c r="L14" s="17">
        <f t="shared" si="1"/>
        <v>98.8381099922541</v>
      </c>
      <c r="M14" s="16">
        <f t="shared" si="2"/>
        <v>2264</v>
      </c>
      <c r="N14" s="17">
        <f t="shared" si="3"/>
        <v>88.5758998435055</v>
      </c>
      <c r="P14">
        <f t="shared" si="4"/>
        <v>318</v>
      </c>
      <c r="Q14" s="18">
        <f>R51</f>
        <v>120</v>
      </c>
      <c r="R14" s="18">
        <f>R52</f>
        <v>2432</v>
      </c>
      <c r="S14">
        <f t="shared" si="5"/>
        <v>2552</v>
      </c>
      <c r="T14">
        <f t="shared" si="6"/>
        <v>30</v>
      </c>
      <c r="U14" s="19">
        <f t="shared" si="7"/>
        <v>0.988381099922541</v>
      </c>
      <c r="V14" s="18">
        <f>P51</f>
        <v>117</v>
      </c>
      <c r="W14" s="18">
        <f>P52</f>
        <v>2439</v>
      </c>
      <c r="X14">
        <f t="shared" si="8"/>
        <v>2556</v>
      </c>
      <c r="Y14" s="19"/>
      <c r="AA14" s="35" t="s">
        <v>19</v>
      </c>
      <c r="AB14" s="36">
        <f>C14</f>
        <v>120</v>
      </c>
      <c r="AC14" s="37">
        <f t="shared" si="9"/>
        <v>100</v>
      </c>
      <c r="AD14" s="36">
        <f t="shared" si="10"/>
        <v>112</v>
      </c>
      <c r="AE14" s="37">
        <f t="shared" si="11"/>
        <v>95.7264957264957</v>
      </c>
      <c r="AF14" s="36">
        <f t="shared" si="12"/>
        <v>2462</v>
      </c>
      <c r="AG14" s="37">
        <f t="shared" si="13"/>
        <v>98.7814784727864</v>
      </c>
      <c r="AH14" s="36">
        <f t="shared" si="14"/>
        <v>2152</v>
      </c>
      <c r="AI14" s="37">
        <f t="shared" si="15"/>
        <v>88.2328823288233</v>
      </c>
      <c r="AJ14" s="36">
        <f t="shared" si="16"/>
        <v>2582</v>
      </c>
      <c r="AK14" s="37">
        <f t="shared" si="17"/>
        <v>98.8381099922541</v>
      </c>
      <c r="AL14" s="36">
        <f t="shared" si="18"/>
        <v>2264</v>
      </c>
      <c r="AM14" s="37">
        <f t="shared" si="19"/>
        <v>88.5758998435055</v>
      </c>
    </row>
    <row r="15" ht="15.25" spans="2:39">
      <c r="B15" s="33" t="s">
        <v>20</v>
      </c>
      <c r="C15" s="22">
        <f>O53</f>
        <v>116</v>
      </c>
      <c r="D15" s="34">
        <f>E53*100</f>
        <v>100</v>
      </c>
      <c r="E15" s="22">
        <f>Q53</f>
        <v>114</v>
      </c>
      <c r="F15" s="34">
        <f>S53*100</f>
        <v>98.2758620689655</v>
      </c>
      <c r="G15" s="22">
        <f>O54</f>
        <v>922</v>
      </c>
      <c r="H15" s="34">
        <f>E54*100</f>
        <v>97.0715835140998</v>
      </c>
      <c r="I15" s="22">
        <f>Q54</f>
        <v>874</v>
      </c>
      <c r="J15" s="34">
        <f>S54*100</f>
        <v>94.7939262472885</v>
      </c>
      <c r="K15" s="22">
        <f t="shared" si="0"/>
        <v>1038</v>
      </c>
      <c r="L15" s="34">
        <f t="shared" si="1"/>
        <v>97.3988439306358</v>
      </c>
      <c r="M15" s="22">
        <f t="shared" si="2"/>
        <v>988</v>
      </c>
      <c r="N15" s="34">
        <f t="shared" si="3"/>
        <v>95.1830443159923</v>
      </c>
      <c r="P15">
        <f t="shared" si="4"/>
        <v>50</v>
      </c>
      <c r="Q15" s="18">
        <f>R53</f>
        <v>116</v>
      </c>
      <c r="R15" s="18">
        <f>R54</f>
        <v>895</v>
      </c>
      <c r="S15">
        <f t="shared" si="5"/>
        <v>1011</v>
      </c>
      <c r="T15">
        <f t="shared" si="6"/>
        <v>27</v>
      </c>
      <c r="U15" s="19">
        <f t="shared" si="7"/>
        <v>0.973988439306358</v>
      </c>
      <c r="V15" s="18">
        <f>P53</f>
        <v>116</v>
      </c>
      <c r="W15" s="18">
        <f>P54</f>
        <v>922</v>
      </c>
      <c r="X15">
        <f t="shared" si="8"/>
        <v>1038</v>
      </c>
      <c r="Y15" s="19"/>
      <c r="AA15" s="35" t="s">
        <v>20</v>
      </c>
      <c r="AB15" s="36">
        <f>C15</f>
        <v>116</v>
      </c>
      <c r="AC15" s="37">
        <f t="shared" si="9"/>
        <v>100</v>
      </c>
      <c r="AD15" s="36">
        <f t="shared" si="10"/>
        <v>114</v>
      </c>
      <c r="AE15" s="37">
        <f t="shared" si="11"/>
        <v>98.2758620689655</v>
      </c>
      <c r="AF15" s="36">
        <f t="shared" si="12"/>
        <v>922</v>
      </c>
      <c r="AG15" s="37">
        <f t="shared" si="13"/>
        <v>97.0715835140998</v>
      </c>
      <c r="AH15" s="36">
        <f t="shared" si="14"/>
        <v>874</v>
      </c>
      <c r="AI15" s="37">
        <f t="shared" si="15"/>
        <v>94.7939262472885</v>
      </c>
      <c r="AJ15" s="36">
        <f t="shared" si="16"/>
        <v>1038</v>
      </c>
      <c r="AK15" s="37">
        <f t="shared" si="17"/>
        <v>97.3988439306358</v>
      </c>
      <c r="AL15" s="36">
        <f t="shared" si="18"/>
        <v>988</v>
      </c>
      <c r="AM15" s="37">
        <f t="shared" si="19"/>
        <v>95.1830443159923</v>
      </c>
    </row>
    <row r="16" ht="15.25" spans="2:39">
      <c r="B16" s="29" t="s">
        <v>21</v>
      </c>
      <c r="C16" s="16">
        <f>O55</f>
        <v>45</v>
      </c>
      <c r="D16" s="17">
        <f>E55*100</f>
        <v>100</v>
      </c>
      <c r="E16" s="16">
        <f>Q55</f>
        <v>43</v>
      </c>
      <c r="F16" s="17">
        <f>S55*100</f>
        <v>95.5555555555556</v>
      </c>
      <c r="G16" s="16">
        <f>O56</f>
        <v>883</v>
      </c>
      <c r="H16" s="17">
        <f>E56*100</f>
        <v>98.5277463193658</v>
      </c>
      <c r="I16" s="16">
        <f>Q56</f>
        <v>751</v>
      </c>
      <c r="J16" s="17">
        <f>S56*100</f>
        <v>85.1473922902494</v>
      </c>
      <c r="K16" s="16">
        <f t="shared" si="0"/>
        <v>928</v>
      </c>
      <c r="L16" s="17">
        <f t="shared" si="1"/>
        <v>98.5991379310345</v>
      </c>
      <c r="M16" s="16">
        <f t="shared" si="2"/>
        <v>794</v>
      </c>
      <c r="N16" s="17">
        <f t="shared" si="3"/>
        <v>85.6526429341963</v>
      </c>
      <c r="P16">
        <f t="shared" si="4"/>
        <v>134</v>
      </c>
      <c r="Q16" s="18">
        <f>R55</f>
        <v>45</v>
      </c>
      <c r="R16" s="18">
        <f>R56</f>
        <v>870</v>
      </c>
      <c r="S16">
        <f t="shared" si="5"/>
        <v>915</v>
      </c>
      <c r="T16">
        <f t="shared" si="6"/>
        <v>13</v>
      </c>
      <c r="U16" s="19">
        <f t="shared" si="7"/>
        <v>0.985991379310345</v>
      </c>
      <c r="V16" s="18">
        <f>P55</f>
        <v>45</v>
      </c>
      <c r="W16" s="18">
        <f>P56</f>
        <v>882</v>
      </c>
      <c r="X16">
        <f t="shared" si="8"/>
        <v>927</v>
      </c>
      <c r="Y16" s="19"/>
      <c r="AA16" s="30" t="s">
        <v>21</v>
      </c>
      <c r="AB16" s="31">
        <f>C16</f>
        <v>45</v>
      </c>
      <c r="AC16" s="32">
        <f t="shared" si="9"/>
        <v>100</v>
      </c>
      <c r="AD16" s="31">
        <f t="shared" si="10"/>
        <v>43</v>
      </c>
      <c r="AE16" s="32">
        <f t="shared" si="11"/>
        <v>95.5555555555556</v>
      </c>
      <c r="AF16" s="31">
        <f t="shared" si="12"/>
        <v>883</v>
      </c>
      <c r="AG16" s="32">
        <f t="shared" si="13"/>
        <v>98.5277463193658</v>
      </c>
      <c r="AH16" s="31">
        <f t="shared" si="14"/>
        <v>751</v>
      </c>
      <c r="AI16" s="32">
        <f t="shared" si="15"/>
        <v>85.1473922902494</v>
      </c>
      <c r="AJ16" s="31">
        <f t="shared" si="16"/>
        <v>928</v>
      </c>
      <c r="AK16" s="32">
        <f t="shared" si="17"/>
        <v>98.5991379310345</v>
      </c>
      <c r="AL16" s="31">
        <f t="shared" si="18"/>
        <v>794</v>
      </c>
      <c r="AM16" s="32">
        <f t="shared" si="19"/>
        <v>85.6526429341963</v>
      </c>
    </row>
    <row r="17" ht="15.25" spans="2:39">
      <c r="B17" s="33" t="s">
        <v>22</v>
      </c>
      <c r="C17" s="22">
        <f>O57</f>
        <v>22</v>
      </c>
      <c r="D17" s="34">
        <f>E57*100</f>
        <v>100</v>
      </c>
      <c r="E17" s="22">
        <f>Q57</f>
        <v>22</v>
      </c>
      <c r="F17" s="34">
        <f>S57*100</f>
        <v>100</v>
      </c>
      <c r="G17" s="22">
        <f>O58</f>
        <v>557</v>
      </c>
      <c r="H17" s="34">
        <f>E58*100</f>
        <v>80.0718132854578</v>
      </c>
      <c r="I17" s="22">
        <f>Q58</f>
        <v>545</v>
      </c>
      <c r="J17" s="34">
        <f>S58*100</f>
        <v>98.0215827338129</v>
      </c>
      <c r="K17" s="22">
        <f t="shared" si="0"/>
        <v>579</v>
      </c>
      <c r="L17" s="34">
        <f t="shared" si="1"/>
        <v>80.8290155440415</v>
      </c>
      <c r="M17" s="22">
        <f t="shared" si="2"/>
        <v>567</v>
      </c>
      <c r="N17" s="34">
        <f t="shared" si="3"/>
        <v>98.0968858131488</v>
      </c>
      <c r="P17">
        <f t="shared" si="4"/>
        <v>12</v>
      </c>
      <c r="Q17" s="18">
        <f>R57</f>
        <v>22</v>
      </c>
      <c r="R17" s="18">
        <f>R58</f>
        <v>446</v>
      </c>
      <c r="S17">
        <f t="shared" si="5"/>
        <v>468</v>
      </c>
      <c r="T17">
        <f t="shared" si="6"/>
        <v>111</v>
      </c>
      <c r="U17" s="19">
        <f t="shared" si="7"/>
        <v>0.808290155440414</v>
      </c>
      <c r="V17" s="18">
        <f>P57</f>
        <v>22</v>
      </c>
      <c r="W17" s="18">
        <f>P58</f>
        <v>556</v>
      </c>
      <c r="X17">
        <f t="shared" si="8"/>
        <v>578</v>
      </c>
      <c r="Y17" s="19"/>
      <c r="AA17" s="30" t="s">
        <v>22</v>
      </c>
      <c r="AB17" s="31">
        <f>C17</f>
        <v>22</v>
      </c>
      <c r="AC17" s="32">
        <f t="shared" si="9"/>
        <v>100</v>
      </c>
      <c r="AD17" s="31">
        <f t="shared" si="10"/>
        <v>22</v>
      </c>
      <c r="AE17" s="32">
        <f t="shared" si="11"/>
        <v>100</v>
      </c>
      <c r="AF17" s="31">
        <f t="shared" si="12"/>
        <v>557</v>
      </c>
      <c r="AG17" s="32">
        <f t="shared" si="13"/>
        <v>80.0718132854578</v>
      </c>
      <c r="AH17" s="31">
        <f t="shared" si="14"/>
        <v>545</v>
      </c>
      <c r="AI17" s="32">
        <f t="shared" si="15"/>
        <v>98.0215827338129</v>
      </c>
      <c r="AJ17" s="31">
        <f t="shared" si="16"/>
        <v>579</v>
      </c>
      <c r="AK17" s="32">
        <f t="shared" si="17"/>
        <v>80.8290155440415</v>
      </c>
      <c r="AL17" s="31">
        <f t="shared" si="18"/>
        <v>567</v>
      </c>
      <c r="AM17" s="32">
        <f t="shared" si="19"/>
        <v>98.0968858131488</v>
      </c>
    </row>
    <row r="18" ht="15.25" spans="2:39">
      <c r="B18" s="29" t="s">
        <v>23</v>
      </c>
      <c r="C18" s="16">
        <f>O59</f>
        <v>19</v>
      </c>
      <c r="D18" s="17">
        <f>E59*100</f>
        <v>100</v>
      </c>
      <c r="E18" s="16">
        <f>Q59</f>
        <v>19</v>
      </c>
      <c r="F18" s="17">
        <f>S59*100</f>
        <v>100</v>
      </c>
      <c r="G18" s="16">
        <f>O60</f>
        <v>466</v>
      </c>
      <c r="H18" s="17">
        <f>E60*100</f>
        <v>94.6351931330472</v>
      </c>
      <c r="I18" s="16">
        <f>Q60</f>
        <v>411</v>
      </c>
      <c r="J18" s="17">
        <f>S60*100</f>
        <v>92.5675675675676</v>
      </c>
      <c r="K18" s="16">
        <f t="shared" si="0"/>
        <v>485</v>
      </c>
      <c r="L18" s="17">
        <f t="shared" si="1"/>
        <v>94.8453608247423</v>
      </c>
      <c r="M18" s="16">
        <f t="shared" si="2"/>
        <v>430</v>
      </c>
      <c r="N18" s="17">
        <f t="shared" si="3"/>
        <v>92.8725701943845</v>
      </c>
      <c r="P18">
        <f t="shared" si="4"/>
        <v>55</v>
      </c>
      <c r="Q18" s="18">
        <f>R59</f>
        <v>19</v>
      </c>
      <c r="R18" s="18">
        <f>R60</f>
        <v>441</v>
      </c>
      <c r="S18">
        <f t="shared" si="5"/>
        <v>460</v>
      </c>
      <c r="T18">
        <f t="shared" si="6"/>
        <v>25</v>
      </c>
      <c r="U18" s="19">
        <f t="shared" si="7"/>
        <v>0.948453608247423</v>
      </c>
      <c r="V18" s="18">
        <f>P59</f>
        <v>19</v>
      </c>
      <c r="W18" s="18">
        <f>P60</f>
        <v>444</v>
      </c>
      <c r="X18">
        <f t="shared" si="8"/>
        <v>463</v>
      </c>
      <c r="Y18" s="19"/>
      <c r="AA18" s="30" t="s">
        <v>23</v>
      </c>
      <c r="AB18" s="31">
        <f>C18</f>
        <v>19</v>
      </c>
      <c r="AC18" s="32">
        <f t="shared" si="9"/>
        <v>100</v>
      </c>
      <c r="AD18" s="31">
        <f t="shared" si="10"/>
        <v>19</v>
      </c>
      <c r="AE18" s="32">
        <f t="shared" si="11"/>
        <v>100</v>
      </c>
      <c r="AF18" s="31">
        <f t="shared" si="12"/>
        <v>466</v>
      </c>
      <c r="AG18" s="32">
        <f t="shared" si="13"/>
        <v>94.6351931330472</v>
      </c>
      <c r="AH18" s="31">
        <f t="shared" si="14"/>
        <v>411</v>
      </c>
      <c r="AI18" s="32">
        <f t="shared" si="15"/>
        <v>92.5675675675676</v>
      </c>
      <c r="AJ18" s="31">
        <f t="shared" si="16"/>
        <v>485</v>
      </c>
      <c r="AK18" s="32">
        <f t="shared" si="17"/>
        <v>94.8453608247423</v>
      </c>
      <c r="AL18" s="31">
        <f t="shared" si="18"/>
        <v>430</v>
      </c>
      <c r="AM18" s="32">
        <f t="shared" si="19"/>
        <v>92.8725701943845</v>
      </c>
    </row>
    <row r="19" ht="15.25" spans="2:39">
      <c r="B19" s="33" t="s">
        <v>24</v>
      </c>
      <c r="C19" s="22">
        <f>O61</f>
        <v>4</v>
      </c>
      <c r="D19" s="34">
        <f>E61*100</f>
        <v>100</v>
      </c>
      <c r="E19" s="22">
        <f>Q61</f>
        <v>4</v>
      </c>
      <c r="F19" s="34">
        <f>S61*100</f>
        <v>100</v>
      </c>
      <c r="G19" s="22">
        <f>O62</f>
        <v>127</v>
      </c>
      <c r="H19" s="34">
        <f>E62*100</f>
        <v>98.4251968503937</v>
      </c>
      <c r="I19" s="22">
        <f>Q62</f>
        <v>126</v>
      </c>
      <c r="J19" s="34">
        <f>S62*100</f>
        <v>99.2125984251969</v>
      </c>
      <c r="K19" s="22">
        <f t="shared" si="0"/>
        <v>131</v>
      </c>
      <c r="L19" s="34">
        <f t="shared" si="1"/>
        <v>98.4732824427481</v>
      </c>
      <c r="M19" s="22">
        <f t="shared" si="2"/>
        <v>130</v>
      </c>
      <c r="N19" s="34">
        <f t="shared" si="3"/>
        <v>99.236641221374</v>
      </c>
      <c r="P19">
        <f t="shared" si="4"/>
        <v>1</v>
      </c>
      <c r="Q19" s="18">
        <f>R61</f>
        <v>4</v>
      </c>
      <c r="R19" s="18">
        <f>R62</f>
        <v>125</v>
      </c>
      <c r="S19">
        <f t="shared" si="5"/>
        <v>129</v>
      </c>
      <c r="T19">
        <f t="shared" si="6"/>
        <v>2</v>
      </c>
      <c r="U19" s="19">
        <f t="shared" si="7"/>
        <v>0.984732824427481</v>
      </c>
      <c r="V19" s="18">
        <f>P61</f>
        <v>4</v>
      </c>
      <c r="W19" s="18">
        <f>P62</f>
        <v>127</v>
      </c>
      <c r="X19">
        <f t="shared" si="8"/>
        <v>131</v>
      </c>
      <c r="Y19" s="19"/>
      <c r="AA19" s="30" t="s">
        <v>24</v>
      </c>
      <c r="AB19" s="31">
        <f>C19</f>
        <v>4</v>
      </c>
      <c r="AC19" s="32">
        <f t="shared" si="9"/>
        <v>100</v>
      </c>
      <c r="AD19" s="31">
        <f t="shared" si="10"/>
        <v>4</v>
      </c>
      <c r="AE19" s="32">
        <f t="shared" si="11"/>
        <v>100</v>
      </c>
      <c r="AF19" s="31">
        <f t="shared" si="12"/>
        <v>127</v>
      </c>
      <c r="AG19" s="32">
        <f t="shared" si="13"/>
        <v>98.4251968503937</v>
      </c>
      <c r="AH19" s="31">
        <f t="shared" si="14"/>
        <v>126</v>
      </c>
      <c r="AI19" s="32">
        <f t="shared" si="15"/>
        <v>99.2125984251969</v>
      </c>
      <c r="AJ19" s="31">
        <f t="shared" si="16"/>
        <v>131</v>
      </c>
      <c r="AK19" s="32">
        <f t="shared" si="17"/>
        <v>98.4732824427481</v>
      </c>
      <c r="AL19" s="31">
        <f t="shared" si="18"/>
        <v>130</v>
      </c>
      <c r="AM19" s="32">
        <f t="shared" si="19"/>
        <v>99.236641221374</v>
      </c>
    </row>
    <row r="20" ht="15.25" spans="2:39">
      <c r="B20" s="29" t="s">
        <v>25</v>
      </c>
      <c r="C20" s="16">
        <f>O63</f>
        <v>14</v>
      </c>
      <c r="D20" s="17">
        <f>E63*100</f>
        <v>100</v>
      </c>
      <c r="E20" s="16">
        <f>Q63</f>
        <v>14</v>
      </c>
      <c r="F20" s="17">
        <f>S63*100</f>
        <v>100</v>
      </c>
      <c r="G20" s="16">
        <f>O64</f>
        <v>246</v>
      </c>
      <c r="H20" s="17">
        <f>E64*100</f>
        <v>90.2439024390244</v>
      </c>
      <c r="I20" s="16">
        <f>Q64</f>
        <v>218</v>
      </c>
      <c r="J20" s="17">
        <f>S64*100</f>
        <v>89.344262295082</v>
      </c>
      <c r="K20" s="16">
        <f t="shared" si="0"/>
        <v>260</v>
      </c>
      <c r="L20" s="17">
        <f t="shared" si="1"/>
        <v>90.7692307692308</v>
      </c>
      <c r="M20" s="16">
        <f t="shared" si="2"/>
        <v>232</v>
      </c>
      <c r="N20" s="17">
        <f t="shared" si="3"/>
        <v>89.922480620155</v>
      </c>
      <c r="P20">
        <f t="shared" si="4"/>
        <v>28</v>
      </c>
      <c r="Q20" s="18">
        <f>R63</f>
        <v>14</v>
      </c>
      <c r="R20" s="18">
        <f>R64</f>
        <v>222</v>
      </c>
      <c r="S20">
        <f t="shared" si="5"/>
        <v>236</v>
      </c>
      <c r="T20">
        <f t="shared" si="6"/>
        <v>24</v>
      </c>
      <c r="U20" s="19">
        <f t="shared" si="7"/>
        <v>0.907692307692308</v>
      </c>
      <c r="V20" s="18">
        <f>P63</f>
        <v>14</v>
      </c>
      <c r="W20" s="18">
        <f>P64</f>
        <v>244</v>
      </c>
      <c r="X20">
        <f t="shared" si="8"/>
        <v>258</v>
      </c>
      <c r="Y20" s="19"/>
      <c r="AA20" s="35" t="s">
        <v>25</v>
      </c>
      <c r="AB20" s="36">
        <f>C20</f>
        <v>14</v>
      </c>
      <c r="AC20" s="37">
        <f t="shared" si="9"/>
        <v>100</v>
      </c>
      <c r="AD20" s="36">
        <f t="shared" si="10"/>
        <v>14</v>
      </c>
      <c r="AE20" s="37">
        <f t="shared" si="11"/>
        <v>100</v>
      </c>
      <c r="AF20" s="36">
        <f t="shared" si="12"/>
        <v>246</v>
      </c>
      <c r="AG20" s="37">
        <f t="shared" si="13"/>
        <v>90.2439024390244</v>
      </c>
      <c r="AH20" s="36">
        <f t="shared" si="14"/>
        <v>218</v>
      </c>
      <c r="AI20" s="37">
        <f t="shared" si="15"/>
        <v>89.344262295082</v>
      </c>
      <c r="AJ20" s="36">
        <f t="shared" si="16"/>
        <v>260</v>
      </c>
      <c r="AK20" s="37">
        <f t="shared" si="17"/>
        <v>90.7692307692308</v>
      </c>
      <c r="AL20" s="36">
        <f t="shared" si="18"/>
        <v>232</v>
      </c>
      <c r="AM20" s="37">
        <f t="shared" si="19"/>
        <v>89.922480620155</v>
      </c>
    </row>
    <row r="21" ht="15.25" spans="2:39">
      <c r="B21" s="33" t="s">
        <v>26</v>
      </c>
      <c r="C21" s="22">
        <f>O65</f>
        <v>15</v>
      </c>
      <c r="D21" s="34">
        <f>E65*100</f>
        <v>100</v>
      </c>
      <c r="E21" s="22">
        <f>Q65</f>
        <v>15</v>
      </c>
      <c r="F21" s="34">
        <f>S65*100</f>
        <v>100</v>
      </c>
      <c r="G21" s="22">
        <f>O66</f>
        <v>440</v>
      </c>
      <c r="H21" s="34">
        <f>E66*100</f>
        <v>81.3636363636364</v>
      </c>
      <c r="I21" s="22">
        <f>Q66</f>
        <v>238</v>
      </c>
      <c r="J21" s="34">
        <f>S66*100</f>
        <v>55.2204176334107</v>
      </c>
      <c r="K21" s="22">
        <f t="shared" si="0"/>
        <v>455</v>
      </c>
      <c r="L21" s="34">
        <f t="shared" si="1"/>
        <v>81.978021978022</v>
      </c>
      <c r="M21" s="22">
        <f t="shared" si="2"/>
        <v>253</v>
      </c>
      <c r="N21" s="34">
        <f t="shared" si="3"/>
        <v>56.7264573991031</v>
      </c>
      <c r="P21">
        <f t="shared" si="4"/>
        <v>202</v>
      </c>
      <c r="Q21" s="18">
        <f>R65</f>
        <v>15</v>
      </c>
      <c r="R21" s="18">
        <f>R66</f>
        <v>358</v>
      </c>
      <c r="S21">
        <f t="shared" si="5"/>
        <v>373</v>
      </c>
      <c r="T21">
        <f t="shared" si="6"/>
        <v>82</v>
      </c>
      <c r="U21" s="19">
        <f t="shared" si="7"/>
        <v>0.81978021978022</v>
      </c>
      <c r="V21" s="18">
        <f>P65</f>
        <v>15</v>
      </c>
      <c r="W21" s="18">
        <f>P66</f>
        <v>431</v>
      </c>
      <c r="X21">
        <f t="shared" si="8"/>
        <v>446</v>
      </c>
      <c r="Y21" s="19"/>
      <c r="AA21" s="35" t="s">
        <v>26</v>
      </c>
      <c r="AB21" s="36">
        <f>C21</f>
        <v>15</v>
      </c>
      <c r="AC21" s="37">
        <f t="shared" si="9"/>
        <v>100</v>
      </c>
      <c r="AD21" s="36">
        <f t="shared" si="10"/>
        <v>15</v>
      </c>
      <c r="AE21" s="37">
        <f t="shared" si="11"/>
        <v>100</v>
      </c>
      <c r="AF21" s="36">
        <f t="shared" si="12"/>
        <v>440</v>
      </c>
      <c r="AG21" s="37">
        <f t="shared" si="13"/>
        <v>81.3636363636364</v>
      </c>
      <c r="AH21" s="36">
        <f t="shared" si="14"/>
        <v>238</v>
      </c>
      <c r="AI21" s="37">
        <f t="shared" si="15"/>
        <v>55.2204176334107</v>
      </c>
      <c r="AJ21" s="36">
        <f t="shared" si="16"/>
        <v>455</v>
      </c>
      <c r="AK21" s="37">
        <f t="shared" si="17"/>
        <v>81.978021978022</v>
      </c>
      <c r="AL21" s="36">
        <f t="shared" si="18"/>
        <v>253</v>
      </c>
      <c r="AM21" s="37">
        <f t="shared" si="19"/>
        <v>56.7264573991031</v>
      </c>
    </row>
    <row r="22" ht="15.25" spans="2:39">
      <c r="B22" s="29" t="s">
        <v>27</v>
      </c>
      <c r="C22" s="16">
        <f>O67</f>
        <v>15</v>
      </c>
      <c r="D22" s="17">
        <f>E67*100</f>
        <v>100</v>
      </c>
      <c r="E22" s="16">
        <f>Q67</f>
        <v>15</v>
      </c>
      <c r="F22" s="17">
        <f>S67*100</f>
        <v>100</v>
      </c>
      <c r="G22" s="16">
        <f>O68</f>
        <v>426</v>
      </c>
      <c r="H22" s="17">
        <f>E68*100</f>
        <v>97.1830985915493</v>
      </c>
      <c r="I22" s="16">
        <f>Q68</f>
        <v>367</v>
      </c>
      <c r="J22" s="17">
        <f>S68*100</f>
        <v>86.3529411764706</v>
      </c>
      <c r="K22" s="16">
        <f t="shared" si="0"/>
        <v>441</v>
      </c>
      <c r="L22" s="17">
        <f t="shared" si="1"/>
        <v>97.2789115646258</v>
      </c>
      <c r="M22" s="16">
        <f t="shared" si="2"/>
        <v>382</v>
      </c>
      <c r="N22" s="17">
        <f t="shared" si="3"/>
        <v>86.8181818181818</v>
      </c>
      <c r="P22">
        <f t="shared" si="4"/>
        <v>59</v>
      </c>
      <c r="Q22" s="18">
        <f>R67</f>
        <v>15</v>
      </c>
      <c r="R22" s="18">
        <f>R68</f>
        <v>414</v>
      </c>
      <c r="S22">
        <f t="shared" si="5"/>
        <v>429</v>
      </c>
      <c r="T22">
        <f t="shared" si="6"/>
        <v>12</v>
      </c>
      <c r="U22" s="19">
        <f t="shared" si="7"/>
        <v>0.972789115646258</v>
      </c>
      <c r="V22" s="18">
        <f>P67</f>
        <v>15</v>
      </c>
      <c r="W22" s="18">
        <f>P68</f>
        <v>425</v>
      </c>
      <c r="X22">
        <f t="shared" si="8"/>
        <v>440</v>
      </c>
      <c r="Y22" s="19"/>
      <c r="AA22" s="35" t="s">
        <v>27</v>
      </c>
      <c r="AB22" s="36">
        <f>C22</f>
        <v>15</v>
      </c>
      <c r="AC22" s="37">
        <f t="shared" si="9"/>
        <v>100</v>
      </c>
      <c r="AD22" s="36">
        <f t="shared" si="10"/>
        <v>15</v>
      </c>
      <c r="AE22" s="37">
        <f t="shared" si="11"/>
        <v>100</v>
      </c>
      <c r="AF22" s="36">
        <f t="shared" si="12"/>
        <v>426</v>
      </c>
      <c r="AG22" s="37">
        <f t="shared" si="13"/>
        <v>97.1830985915493</v>
      </c>
      <c r="AH22" s="36">
        <f t="shared" si="14"/>
        <v>367</v>
      </c>
      <c r="AI22" s="37">
        <f t="shared" si="15"/>
        <v>86.3529411764706</v>
      </c>
      <c r="AJ22" s="36">
        <f t="shared" si="16"/>
        <v>441</v>
      </c>
      <c r="AK22" s="37">
        <f t="shared" si="17"/>
        <v>97.2789115646258</v>
      </c>
      <c r="AL22" s="36">
        <f t="shared" si="18"/>
        <v>382</v>
      </c>
      <c r="AM22" s="37">
        <f t="shared" si="19"/>
        <v>86.8181818181818</v>
      </c>
    </row>
    <row r="23" ht="15.25" spans="2:39">
      <c r="B23" s="33" t="s">
        <v>28</v>
      </c>
      <c r="C23" s="22">
        <f>O69</f>
        <v>12</v>
      </c>
      <c r="D23" s="34">
        <f>E69*100</f>
        <v>91.6666666666667</v>
      </c>
      <c r="E23" s="22">
        <f>Q69</f>
        <v>12</v>
      </c>
      <c r="F23" s="34">
        <f>S69*100</f>
        <v>100</v>
      </c>
      <c r="G23" s="22">
        <f>O70</f>
        <v>274</v>
      </c>
      <c r="H23" s="34">
        <f>E70*100</f>
        <v>98.1751824817518</v>
      </c>
      <c r="I23" s="22">
        <f>Q70</f>
        <v>228</v>
      </c>
      <c r="J23" s="34">
        <f>S70*100</f>
        <v>83.2116788321168</v>
      </c>
      <c r="K23" s="22">
        <f t="shared" si="0"/>
        <v>286</v>
      </c>
      <c r="L23" s="34">
        <f t="shared" si="1"/>
        <v>97.9020979020979</v>
      </c>
      <c r="M23" s="22">
        <f t="shared" si="2"/>
        <v>240</v>
      </c>
      <c r="N23" s="34">
        <f t="shared" si="3"/>
        <v>83.9160839160839</v>
      </c>
      <c r="P23">
        <f t="shared" si="4"/>
        <v>46</v>
      </c>
      <c r="Q23" s="18">
        <f>R69</f>
        <v>11</v>
      </c>
      <c r="R23" s="18">
        <f>R70</f>
        <v>269</v>
      </c>
      <c r="S23">
        <f t="shared" si="5"/>
        <v>280</v>
      </c>
      <c r="T23">
        <f t="shared" si="6"/>
        <v>6</v>
      </c>
      <c r="U23" s="19">
        <f t="shared" si="7"/>
        <v>0.979020979020979</v>
      </c>
      <c r="V23" s="18">
        <f>P69</f>
        <v>12</v>
      </c>
      <c r="W23" s="18">
        <f>P70</f>
        <v>274</v>
      </c>
      <c r="X23">
        <f t="shared" si="8"/>
        <v>286</v>
      </c>
      <c r="Y23" s="19"/>
      <c r="AA23" s="35" t="s">
        <v>28</v>
      </c>
      <c r="AB23" s="36">
        <f>C23</f>
        <v>12</v>
      </c>
      <c r="AC23" s="37">
        <f t="shared" si="9"/>
        <v>91.6666666666667</v>
      </c>
      <c r="AD23" s="36">
        <f t="shared" si="10"/>
        <v>12</v>
      </c>
      <c r="AE23" s="37">
        <f t="shared" si="11"/>
        <v>100</v>
      </c>
      <c r="AF23" s="36">
        <f t="shared" si="12"/>
        <v>274</v>
      </c>
      <c r="AG23" s="37">
        <f t="shared" si="13"/>
        <v>98.1751824817518</v>
      </c>
      <c r="AH23" s="36">
        <f t="shared" si="14"/>
        <v>228</v>
      </c>
      <c r="AI23" s="37">
        <f t="shared" si="15"/>
        <v>83.2116788321168</v>
      </c>
      <c r="AJ23" s="36">
        <f t="shared" si="16"/>
        <v>286</v>
      </c>
      <c r="AK23" s="37">
        <f t="shared" si="17"/>
        <v>97.9020979020979</v>
      </c>
      <c r="AL23" s="36">
        <f t="shared" si="18"/>
        <v>240</v>
      </c>
      <c r="AM23" s="37">
        <f t="shared" si="19"/>
        <v>83.9160839160839</v>
      </c>
    </row>
    <row r="24" ht="15.25" spans="2:39">
      <c r="B24" s="29" t="s">
        <v>29</v>
      </c>
      <c r="C24" s="16">
        <f>O71</f>
        <v>58</v>
      </c>
      <c r="D24" s="17">
        <f>E71*100</f>
        <v>100</v>
      </c>
      <c r="E24" s="16">
        <f>Q71</f>
        <v>58</v>
      </c>
      <c r="F24" s="17">
        <f>S71*100</f>
        <v>100</v>
      </c>
      <c r="G24" s="16">
        <f>O72</f>
        <v>798</v>
      </c>
      <c r="H24" s="17">
        <f>E72*100</f>
        <v>99.4987468671679</v>
      </c>
      <c r="I24" s="16">
        <f>Q72</f>
        <v>788</v>
      </c>
      <c r="J24" s="17">
        <f>S72*100</f>
        <v>99.1194968553459</v>
      </c>
      <c r="K24" s="16">
        <f t="shared" si="0"/>
        <v>856</v>
      </c>
      <c r="L24" s="17">
        <f t="shared" si="1"/>
        <v>99.5327102803738</v>
      </c>
      <c r="M24" s="16">
        <f t="shared" si="2"/>
        <v>846</v>
      </c>
      <c r="N24" s="17">
        <f t="shared" si="3"/>
        <v>99.179366940211</v>
      </c>
      <c r="P24">
        <f t="shared" si="4"/>
        <v>10</v>
      </c>
      <c r="Q24" s="18">
        <f>R71</f>
        <v>58</v>
      </c>
      <c r="R24" s="18">
        <f>R72</f>
        <v>794</v>
      </c>
      <c r="S24">
        <f t="shared" si="5"/>
        <v>852</v>
      </c>
      <c r="T24">
        <f t="shared" si="6"/>
        <v>4</v>
      </c>
      <c r="U24" s="19">
        <f t="shared" si="7"/>
        <v>0.995327102803738</v>
      </c>
      <c r="V24" s="18">
        <f>P71</f>
        <v>58</v>
      </c>
      <c r="W24" s="18">
        <f>P72</f>
        <v>795</v>
      </c>
      <c r="X24">
        <f t="shared" si="8"/>
        <v>853</v>
      </c>
      <c r="Y24" s="19"/>
      <c r="AA24" s="30" t="s">
        <v>29</v>
      </c>
      <c r="AB24" s="31">
        <f>C24</f>
        <v>58</v>
      </c>
      <c r="AC24" s="32">
        <f t="shared" si="9"/>
        <v>100</v>
      </c>
      <c r="AD24" s="31">
        <f t="shared" si="10"/>
        <v>58</v>
      </c>
      <c r="AE24" s="32">
        <f t="shared" si="11"/>
        <v>100</v>
      </c>
      <c r="AF24" s="31">
        <f t="shared" si="12"/>
        <v>798</v>
      </c>
      <c r="AG24" s="32">
        <f t="shared" si="13"/>
        <v>99.4987468671679</v>
      </c>
      <c r="AH24" s="31">
        <f t="shared" si="14"/>
        <v>788</v>
      </c>
      <c r="AI24" s="32">
        <f t="shared" si="15"/>
        <v>99.1194968553459</v>
      </c>
      <c r="AJ24" s="31">
        <f t="shared" si="16"/>
        <v>856</v>
      </c>
      <c r="AK24" s="32">
        <f t="shared" si="17"/>
        <v>99.5327102803738</v>
      </c>
      <c r="AL24" s="31">
        <f t="shared" si="18"/>
        <v>846</v>
      </c>
      <c r="AM24" s="32">
        <f t="shared" si="19"/>
        <v>99.179366940211</v>
      </c>
    </row>
    <row r="25" ht="15.25" spans="2:39">
      <c r="B25" s="33" t="s">
        <v>30</v>
      </c>
      <c r="C25" s="22">
        <f>O73</f>
        <v>63</v>
      </c>
      <c r="D25" s="34">
        <f>E73*100</f>
        <v>98.4126984126984</v>
      </c>
      <c r="E25" s="22">
        <f>Q73</f>
        <v>63</v>
      </c>
      <c r="F25" s="34">
        <f>S73*100</f>
        <v>100</v>
      </c>
      <c r="G25" s="22">
        <f>O74</f>
        <v>1015</v>
      </c>
      <c r="H25" s="34">
        <f>E74*100</f>
        <v>97.0443349753695</v>
      </c>
      <c r="I25" s="22">
        <f>Q74</f>
        <v>915</v>
      </c>
      <c r="J25" s="34">
        <f>S74*100</f>
        <v>90.1477832512315</v>
      </c>
      <c r="K25" s="22">
        <f t="shared" si="0"/>
        <v>1078</v>
      </c>
      <c r="L25" s="34">
        <f t="shared" si="1"/>
        <v>97.1243042671614</v>
      </c>
      <c r="M25" s="22">
        <f t="shared" si="2"/>
        <v>978</v>
      </c>
      <c r="N25" s="34">
        <f t="shared" si="3"/>
        <v>90.7235621521336</v>
      </c>
      <c r="P25">
        <f t="shared" si="4"/>
        <v>100</v>
      </c>
      <c r="Q25" s="18">
        <f>R73</f>
        <v>62</v>
      </c>
      <c r="R25" s="18">
        <f>R74</f>
        <v>985</v>
      </c>
      <c r="S25">
        <f t="shared" si="5"/>
        <v>1047</v>
      </c>
      <c r="T25">
        <f t="shared" si="6"/>
        <v>31</v>
      </c>
      <c r="U25" s="19">
        <f t="shared" si="7"/>
        <v>0.971243042671614</v>
      </c>
      <c r="V25" s="18">
        <f>P73</f>
        <v>63</v>
      </c>
      <c r="W25" s="18">
        <f>P74</f>
        <v>1015</v>
      </c>
      <c r="X25">
        <f t="shared" si="8"/>
        <v>1078</v>
      </c>
      <c r="Y25" s="19"/>
      <c r="AA25" s="30" t="s">
        <v>30</v>
      </c>
      <c r="AB25" s="31">
        <f>C25</f>
        <v>63</v>
      </c>
      <c r="AC25" s="32">
        <f t="shared" si="9"/>
        <v>98.4126984126984</v>
      </c>
      <c r="AD25" s="31">
        <f t="shared" si="10"/>
        <v>63</v>
      </c>
      <c r="AE25" s="32">
        <f t="shared" si="11"/>
        <v>100</v>
      </c>
      <c r="AF25" s="31">
        <f t="shared" si="12"/>
        <v>1015</v>
      </c>
      <c r="AG25" s="32">
        <f t="shared" si="13"/>
        <v>97.0443349753695</v>
      </c>
      <c r="AH25" s="31">
        <f t="shared" si="14"/>
        <v>915</v>
      </c>
      <c r="AI25" s="32">
        <f t="shared" si="15"/>
        <v>90.1477832512315</v>
      </c>
      <c r="AJ25" s="31">
        <f t="shared" si="16"/>
        <v>1078</v>
      </c>
      <c r="AK25" s="32">
        <f t="shared" si="17"/>
        <v>97.1243042671614</v>
      </c>
      <c r="AL25" s="31">
        <f t="shared" si="18"/>
        <v>978</v>
      </c>
      <c r="AM25" s="32">
        <f t="shared" si="19"/>
        <v>90.7235621521336</v>
      </c>
    </row>
    <row r="26" ht="15.25" spans="2:39">
      <c r="B26" s="29" t="s">
        <v>31</v>
      </c>
      <c r="C26" s="16">
        <f>O75</f>
        <v>21</v>
      </c>
      <c r="D26" s="17">
        <f>E75*100</f>
        <v>100</v>
      </c>
      <c r="E26" s="16">
        <f>Q75</f>
        <v>21</v>
      </c>
      <c r="F26" s="17">
        <f>S75*100</f>
        <v>100</v>
      </c>
      <c r="G26" s="16">
        <f>O76</f>
        <v>397</v>
      </c>
      <c r="H26" s="17">
        <f>E76*100</f>
        <v>100</v>
      </c>
      <c r="I26" s="16">
        <f>Q76</f>
        <v>389</v>
      </c>
      <c r="J26" s="17">
        <f>S76*100</f>
        <v>98.4810126582279</v>
      </c>
      <c r="K26" s="16">
        <f t="shared" si="0"/>
        <v>418</v>
      </c>
      <c r="L26" s="17">
        <f t="shared" si="1"/>
        <v>100</v>
      </c>
      <c r="M26" s="16">
        <f t="shared" si="2"/>
        <v>410</v>
      </c>
      <c r="N26" s="17">
        <f t="shared" si="3"/>
        <v>98.5576923076923</v>
      </c>
      <c r="P26">
        <f t="shared" si="4"/>
        <v>8</v>
      </c>
      <c r="Q26" s="18">
        <f>R75</f>
        <v>21</v>
      </c>
      <c r="R26" s="18">
        <f>R76</f>
        <v>397</v>
      </c>
      <c r="S26">
        <f t="shared" si="5"/>
        <v>418</v>
      </c>
      <c r="T26">
        <f t="shared" si="6"/>
        <v>0</v>
      </c>
      <c r="U26" s="19">
        <f t="shared" si="7"/>
        <v>1</v>
      </c>
      <c r="V26" s="18">
        <f>P75</f>
        <v>21</v>
      </c>
      <c r="W26" s="18">
        <f>P76</f>
        <v>395</v>
      </c>
      <c r="X26">
        <f t="shared" si="8"/>
        <v>416</v>
      </c>
      <c r="Y26" s="19"/>
      <c r="AA26" s="30" t="s">
        <v>31</v>
      </c>
      <c r="AB26" s="31">
        <f>C26</f>
        <v>21</v>
      </c>
      <c r="AC26" s="32">
        <f t="shared" si="9"/>
        <v>100</v>
      </c>
      <c r="AD26" s="31">
        <f t="shared" si="10"/>
        <v>21</v>
      </c>
      <c r="AE26" s="32">
        <f t="shared" si="11"/>
        <v>100</v>
      </c>
      <c r="AF26" s="31">
        <f t="shared" si="12"/>
        <v>397</v>
      </c>
      <c r="AG26" s="32">
        <f t="shared" si="13"/>
        <v>100</v>
      </c>
      <c r="AH26" s="31">
        <f t="shared" si="14"/>
        <v>389</v>
      </c>
      <c r="AI26" s="32">
        <f t="shared" si="15"/>
        <v>98.4810126582279</v>
      </c>
      <c r="AJ26" s="31">
        <f t="shared" si="16"/>
        <v>418</v>
      </c>
      <c r="AK26" s="32">
        <f t="shared" si="17"/>
        <v>100</v>
      </c>
      <c r="AL26" s="31">
        <f t="shared" si="18"/>
        <v>410</v>
      </c>
      <c r="AM26" s="32">
        <f t="shared" si="19"/>
        <v>98.5576923076923</v>
      </c>
    </row>
    <row r="27" ht="15.25" spans="2:39">
      <c r="B27" s="33" t="s">
        <v>32</v>
      </c>
      <c r="C27" s="22">
        <f>O77</f>
        <v>30</v>
      </c>
      <c r="D27" s="34">
        <f>E77*100</f>
        <v>100</v>
      </c>
      <c r="E27" s="22">
        <f>Q77</f>
        <v>30</v>
      </c>
      <c r="F27" s="34">
        <f>S77*100</f>
        <v>100</v>
      </c>
      <c r="G27" s="22">
        <f>O78</f>
        <v>448</v>
      </c>
      <c r="H27" s="34">
        <f>E78*100</f>
        <v>97.3214285714286</v>
      </c>
      <c r="I27" s="22">
        <f>Q78</f>
        <v>405</v>
      </c>
      <c r="J27" s="34">
        <f>S78*100</f>
        <v>91.4221218961625</v>
      </c>
      <c r="K27" s="22">
        <f t="shared" si="0"/>
        <v>478</v>
      </c>
      <c r="L27" s="34">
        <f t="shared" si="1"/>
        <v>97.489539748954</v>
      </c>
      <c r="M27" s="22">
        <f t="shared" si="2"/>
        <v>435</v>
      </c>
      <c r="N27" s="34">
        <f t="shared" si="3"/>
        <v>91.9661733615222</v>
      </c>
      <c r="P27">
        <f t="shared" si="4"/>
        <v>43</v>
      </c>
      <c r="Q27" s="18">
        <f>R77</f>
        <v>30</v>
      </c>
      <c r="R27" s="18">
        <f>R78</f>
        <v>436</v>
      </c>
      <c r="S27">
        <f t="shared" si="5"/>
        <v>466</v>
      </c>
      <c r="T27">
        <f t="shared" si="6"/>
        <v>12</v>
      </c>
      <c r="U27" s="19">
        <f t="shared" si="7"/>
        <v>0.97489539748954</v>
      </c>
      <c r="V27" s="18">
        <f>P77</f>
        <v>30</v>
      </c>
      <c r="W27" s="18">
        <f>P78</f>
        <v>443</v>
      </c>
      <c r="X27">
        <f t="shared" si="8"/>
        <v>473</v>
      </c>
      <c r="Y27" s="19"/>
      <c r="AA27" s="30" t="s">
        <v>32</v>
      </c>
      <c r="AB27" s="31">
        <f>C27</f>
        <v>30</v>
      </c>
      <c r="AC27" s="32">
        <f t="shared" si="9"/>
        <v>100</v>
      </c>
      <c r="AD27" s="31">
        <f t="shared" si="10"/>
        <v>30</v>
      </c>
      <c r="AE27" s="32">
        <f t="shared" si="11"/>
        <v>100</v>
      </c>
      <c r="AF27" s="31">
        <f t="shared" si="12"/>
        <v>448</v>
      </c>
      <c r="AG27" s="32">
        <f t="shared" si="13"/>
        <v>97.3214285714286</v>
      </c>
      <c r="AH27" s="31">
        <f t="shared" si="14"/>
        <v>405</v>
      </c>
      <c r="AI27" s="32">
        <f t="shared" si="15"/>
        <v>91.4221218961625</v>
      </c>
      <c r="AJ27" s="31">
        <f t="shared" si="16"/>
        <v>478</v>
      </c>
      <c r="AK27" s="32">
        <f t="shared" si="17"/>
        <v>97.489539748954</v>
      </c>
      <c r="AL27" s="31">
        <f t="shared" si="18"/>
        <v>435</v>
      </c>
      <c r="AM27" s="32">
        <f t="shared" si="19"/>
        <v>91.9661733615222</v>
      </c>
    </row>
    <row r="28" ht="15.25" spans="2:39">
      <c r="B28" s="29" t="s">
        <v>33</v>
      </c>
      <c r="C28" s="16">
        <f>O79</f>
        <v>19</v>
      </c>
      <c r="D28" s="17">
        <f>E79*100</f>
        <v>100</v>
      </c>
      <c r="E28" s="16">
        <f>Q79</f>
        <v>19</v>
      </c>
      <c r="F28" s="17">
        <f>S79*100</f>
        <v>100</v>
      </c>
      <c r="G28" s="16">
        <f>O80</f>
        <v>388</v>
      </c>
      <c r="H28" s="17">
        <f>E80*100</f>
        <v>99.7422680412371</v>
      </c>
      <c r="I28" s="16">
        <f>Q80</f>
        <v>381</v>
      </c>
      <c r="J28" s="17">
        <f>S80*100</f>
        <v>99.738219895288</v>
      </c>
      <c r="K28" s="16">
        <f t="shared" si="0"/>
        <v>407</v>
      </c>
      <c r="L28" s="17">
        <f t="shared" si="1"/>
        <v>99.7542997542998</v>
      </c>
      <c r="M28" s="16">
        <f t="shared" si="2"/>
        <v>400</v>
      </c>
      <c r="N28" s="17">
        <f t="shared" si="3"/>
        <v>99.7506234413965</v>
      </c>
      <c r="P28">
        <f t="shared" si="4"/>
        <v>7</v>
      </c>
      <c r="Q28" s="18">
        <f>R79</f>
        <v>19</v>
      </c>
      <c r="R28" s="18">
        <f>R80</f>
        <v>387</v>
      </c>
      <c r="S28">
        <f t="shared" si="5"/>
        <v>406</v>
      </c>
      <c r="T28">
        <f t="shared" si="6"/>
        <v>1</v>
      </c>
      <c r="U28" s="19">
        <f t="shared" si="7"/>
        <v>0.997542997542998</v>
      </c>
      <c r="V28" s="18">
        <f>P79</f>
        <v>19</v>
      </c>
      <c r="W28" s="18">
        <f>P80</f>
        <v>382</v>
      </c>
      <c r="X28">
        <f t="shared" si="8"/>
        <v>401</v>
      </c>
      <c r="Y28" s="19"/>
      <c r="AA28" s="38" t="s">
        <v>33</v>
      </c>
      <c r="AB28" s="31">
        <f>C28</f>
        <v>19</v>
      </c>
      <c r="AC28" s="32">
        <f t="shared" si="9"/>
        <v>100</v>
      </c>
      <c r="AD28" s="31">
        <f t="shared" si="10"/>
        <v>19</v>
      </c>
      <c r="AE28" s="32">
        <f t="shared" si="11"/>
        <v>100</v>
      </c>
      <c r="AF28" s="31">
        <f t="shared" si="12"/>
        <v>388</v>
      </c>
      <c r="AG28" s="32">
        <f t="shared" si="13"/>
        <v>99.7422680412371</v>
      </c>
      <c r="AH28" s="31">
        <f t="shared" si="14"/>
        <v>381</v>
      </c>
      <c r="AI28" s="32">
        <f t="shared" si="15"/>
        <v>99.738219895288</v>
      </c>
      <c r="AJ28" s="31">
        <f t="shared" si="16"/>
        <v>407</v>
      </c>
      <c r="AK28" s="32">
        <f t="shared" si="17"/>
        <v>99.7542997542998</v>
      </c>
      <c r="AL28" s="31">
        <f t="shared" si="18"/>
        <v>400</v>
      </c>
      <c r="AM28" s="32">
        <f t="shared" si="19"/>
        <v>99.7506234413965</v>
      </c>
    </row>
    <row r="29" customFormat="1" ht="15.25" spans="2:39">
      <c r="B29" s="29" t="s">
        <v>78</v>
      </c>
      <c r="C29" s="16">
        <f>O81</f>
        <v>10</v>
      </c>
      <c r="D29" s="17">
        <f>E81*100</f>
        <v>100</v>
      </c>
      <c r="E29" s="16">
        <f>Q81</f>
        <v>9</v>
      </c>
      <c r="F29" s="17">
        <f>S81*100</f>
        <v>90</v>
      </c>
      <c r="G29" s="16">
        <f>O82</f>
        <v>3</v>
      </c>
      <c r="H29" s="17">
        <f>E82*100</f>
        <v>100</v>
      </c>
      <c r="I29" s="16">
        <f>Q82</f>
        <v>3</v>
      </c>
      <c r="J29" s="17">
        <f>S82*100</f>
        <v>100</v>
      </c>
      <c r="K29" s="16">
        <f t="shared" si="0"/>
        <v>13</v>
      </c>
      <c r="L29" s="17">
        <f t="shared" si="1"/>
        <v>100</v>
      </c>
      <c r="M29" s="16">
        <f t="shared" si="2"/>
        <v>12</v>
      </c>
      <c r="N29" s="17">
        <f t="shared" si="3"/>
        <v>92.3076923076923</v>
      </c>
      <c r="P29">
        <f t="shared" si="4"/>
        <v>1</v>
      </c>
      <c r="Q29" s="18">
        <f>R81</f>
        <v>10</v>
      </c>
      <c r="R29" s="18">
        <f>R82</f>
        <v>3</v>
      </c>
      <c r="S29">
        <f t="shared" si="5"/>
        <v>13</v>
      </c>
      <c r="T29">
        <f t="shared" si="6"/>
        <v>0</v>
      </c>
      <c r="U29" s="19">
        <f t="shared" si="7"/>
        <v>1</v>
      </c>
      <c r="V29" s="18">
        <f>P81</f>
        <v>10</v>
      </c>
      <c r="W29" s="18">
        <f>P82</f>
        <v>3</v>
      </c>
      <c r="X29">
        <f t="shared" si="8"/>
        <v>13</v>
      </c>
      <c r="Y29" s="19"/>
      <c r="AA29" s="35" t="s">
        <v>79</v>
      </c>
      <c r="AB29" s="36">
        <f>C29</f>
        <v>10</v>
      </c>
      <c r="AC29" s="37">
        <f t="shared" si="9"/>
        <v>100</v>
      </c>
      <c r="AD29" s="36">
        <f t="shared" si="10"/>
        <v>9</v>
      </c>
      <c r="AE29" s="37">
        <f t="shared" si="11"/>
        <v>90</v>
      </c>
      <c r="AF29" s="36">
        <f t="shared" si="12"/>
        <v>3</v>
      </c>
      <c r="AG29" s="37">
        <f t="shared" si="13"/>
        <v>100</v>
      </c>
      <c r="AH29" s="36">
        <f t="shared" si="14"/>
        <v>3</v>
      </c>
      <c r="AI29" s="37">
        <f t="shared" si="15"/>
        <v>100</v>
      </c>
      <c r="AJ29" s="36">
        <f t="shared" si="16"/>
        <v>13</v>
      </c>
      <c r="AK29" s="37">
        <f t="shared" si="17"/>
        <v>100</v>
      </c>
      <c r="AL29" s="36">
        <f t="shared" si="18"/>
        <v>12</v>
      </c>
      <c r="AM29" s="37">
        <f t="shared" si="19"/>
        <v>92.3076923076923</v>
      </c>
    </row>
    <row r="30" spans="2:39">
      <c r="Q30" s="39"/>
      <c r="R30" s="39"/>
    </row>
    <row r="31" spans="2:39">
      <c r="Q31" s="39"/>
      <c r="R31" s="40"/>
    </row>
    <row r="32" spans="2:39">
      <c r="Q32" s="39"/>
      <c r="R32" s="40"/>
    </row>
    <row r="33" ht="17.5" spans="2:21">
      <c r="B33" s="85" t="s">
        <v>80</v>
      </c>
      <c r="Q33" s="39"/>
      <c r="R33" s="40"/>
    </row>
    <row r="34" ht="43.5" spans="2:21">
      <c r="B34" s="86" t="s">
        <v>35</v>
      </c>
      <c r="C34" s="86" t="s">
        <v>36</v>
      </c>
      <c r="D34" s="87" t="s">
        <v>64</v>
      </c>
      <c r="E34" s="87" t="s">
        <v>64</v>
      </c>
      <c r="F34" s="88" t="s">
        <v>6</v>
      </c>
      <c r="G34" s="88" t="s">
        <v>41</v>
      </c>
      <c r="H34" s="89" t="s">
        <v>42</v>
      </c>
      <c r="I34" s="88" t="s">
        <v>6</v>
      </c>
      <c r="J34" s="88" t="s">
        <v>41</v>
      </c>
      <c r="K34" s="89" t="s">
        <v>42</v>
      </c>
      <c r="L34" s="88" t="s">
        <v>6</v>
      </c>
      <c r="M34" s="88" t="s">
        <v>41</v>
      </c>
      <c r="N34" s="89" t="s">
        <v>42</v>
      </c>
      <c r="O34" s="88" t="s">
        <v>6</v>
      </c>
      <c r="P34" s="88" t="s">
        <v>41</v>
      </c>
      <c r="Q34" s="88" t="s">
        <v>43</v>
      </c>
      <c r="R34" s="90" t="s">
        <v>44</v>
      </c>
      <c r="S34" s="91" t="s">
        <v>45</v>
      </c>
      <c r="T34" s="92" t="s">
        <v>72</v>
      </c>
      <c r="U34" s="92" t="s">
        <v>81</v>
      </c>
    </row>
    <row r="35" ht="14.5" spans="2:21">
      <c r="B35" s="49" t="s">
        <v>46</v>
      </c>
      <c r="C35" s="93" t="s">
        <v>2</v>
      </c>
      <c r="D35" s="51">
        <v>0.980704697986577</v>
      </c>
      <c r="E35" s="51">
        <v>0.985318791946309</v>
      </c>
      <c r="F35" s="52">
        <v>2349</v>
      </c>
      <c r="G35" s="52">
        <v>2346</v>
      </c>
      <c r="H35" s="53">
        <v>2336</v>
      </c>
      <c r="I35" s="52">
        <v>15</v>
      </c>
      <c r="J35" s="52">
        <v>15</v>
      </c>
      <c r="K35" s="53">
        <v>12</v>
      </c>
      <c r="L35" s="52">
        <v>20</v>
      </c>
      <c r="M35" s="52">
        <v>20</v>
      </c>
      <c r="N35" s="53">
        <v>17</v>
      </c>
      <c r="O35" s="54">
        <v>2384</v>
      </c>
      <c r="P35" s="54">
        <v>2381</v>
      </c>
      <c r="Q35" s="54">
        <v>2365</v>
      </c>
      <c r="R35" s="54">
        <v>2349</v>
      </c>
      <c r="S35" s="94">
        <v>0.993280134397312</v>
      </c>
      <c r="T35" s="56">
        <v>35</v>
      </c>
      <c r="U35" s="57">
        <v>14</v>
      </c>
    </row>
    <row r="36" ht="14.5" spans="2:21">
      <c r="B36" s="69"/>
      <c r="C36" s="95" t="s">
        <v>3</v>
      </c>
      <c r="D36" s="60">
        <v>0.961868686868687</v>
      </c>
      <c r="E36" s="60">
        <v>0.963229174547931</v>
      </c>
      <c r="F36" s="61">
        <v>22119</v>
      </c>
      <c r="G36" s="61">
        <v>22098</v>
      </c>
      <c r="H36" s="62">
        <v>21929</v>
      </c>
      <c r="I36" s="61">
        <v>16074</v>
      </c>
      <c r="J36" s="61">
        <v>15966</v>
      </c>
      <c r="K36" s="62">
        <v>14082</v>
      </c>
      <c r="L36" s="61">
        <v>1458</v>
      </c>
      <c r="M36" s="61">
        <v>1385</v>
      </c>
      <c r="N36" s="62">
        <v>610</v>
      </c>
      <c r="O36" s="63">
        <v>39651</v>
      </c>
      <c r="P36" s="63">
        <v>39449</v>
      </c>
      <c r="Q36" s="63">
        <v>36621</v>
      </c>
      <c r="R36" s="63">
        <v>38193</v>
      </c>
      <c r="S36" s="96">
        <v>0.928312504752972</v>
      </c>
      <c r="T36" s="65">
        <v>1458</v>
      </c>
      <c r="U36" s="66">
        <v>2252</v>
      </c>
    </row>
    <row r="37" ht="14.5" spans="2:21">
      <c r="B37" s="49" t="s">
        <v>47</v>
      </c>
      <c r="C37" s="93" t="s">
        <v>2</v>
      </c>
      <c r="D37" s="51">
        <v>0.980704697986577</v>
      </c>
      <c r="E37" s="51">
        <v>0.985318791946309</v>
      </c>
      <c r="F37" s="52">
        <v>2349</v>
      </c>
      <c r="G37" s="52">
        <v>2346</v>
      </c>
      <c r="H37" s="53">
        <v>2336</v>
      </c>
      <c r="I37" s="52">
        <v>15</v>
      </c>
      <c r="J37" s="52">
        <v>15</v>
      </c>
      <c r="K37" s="53">
        <v>12</v>
      </c>
      <c r="L37" s="52">
        <v>20</v>
      </c>
      <c r="M37" s="52">
        <v>20</v>
      </c>
      <c r="N37" s="53">
        <v>17</v>
      </c>
      <c r="O37" s="54">
        <v>2384</v>
      </c>
      <c r="P37" s="54">
        <v>2381</v>
      </c>
      <c r="Q37" s="54">
        <v>2365</v>
      </c>
      <c r="R37" s="54">
        <v>2349</v>
      </c>
      <c r="S37" s="94">
        <v>0.993280134397312</v>
      </c>
      <c r="T37" s="67">
        <v>35</v>
      </c>
      <c r="U37" s="68">
        <v>14</v>
      </c>
    </row>
    <row r="38" ht="14.5" spans="2:21">
      <c r="B38" s="69"/>
      <c r="C38" s="95" t="s">
        <v>3</v>
      </c>
      <c r="D38" s="60">
        <v>0.956918100279371</v>
      </c>
      <c r="E38" s="60">
        <v>0.958459806129443</v>
      </c>
      <c r="F38" s="61">
        <v>22378</v>
      </c>
      <c r="G38" s="61">
        <v>22353</v>
      </c>
      <c r="H38" s="62">
        <v>22177</v>
      </c>
      <c r="I38" s="61">
        <v>16777</v>
      </c>
      <c r="J38" s="61">
        <v>16663</v>
      </c>
      <c r="K38" s="62">
        <v>14657</v>
      </c>
      <c r="L38" s="61">
        <v>1697</v>
      </c>
      <c r="M38" s="61">
        <v>1618</v>
      </c>
      <c r="N38" s="62">
        <v>677</v>
      </c>
      <c r="O38" s="63">
        <v>40852</v>
      </c>
      <c r="P38" s="63">
        <v>40634</v>
      </c>
      <c r="Q38" s="63">
        <v>37511</v>
      </c>
      <c r="R38" s="63">
        <v>39155</v>
      </c>
      <c r="S38" s="96">
        <v>0.923143180587685</v>
      </c>
      <c r="T38" s="65">
        <v>1697</v>
      </c>
      <c r="U38" s="66">
        <v>4021</v>
      </c>
    </row>
    <row r="39" ht="14.5" spans="2:21">
      <c r="B39" s="70" t="s">
        <v>13</v>
      </c>
      <c r="C39" s="97" t="s">
        <v>2</v>
      </c>
      <c r="D39" s="51">
        <v>0.985106382978723</v>
      </c>
      <c r="E39" s="51">
        <v>1</v>
      </c>
      <c r="F39" s="72">
        <v>474</v>
      </c>
      <c r="G39" s="72">
        <v>474</v>
      </c>
      <c r="H39" s="73">
        <v>474</v>
      </c>
      <c r="I39" s="52">
        <v>0</v>
      </c>
      <c r="J39" s="52">
        <v>0</v>
      </c>
      <c r="K39" s="53">
        <v>0</v>
      </c>
      <c r="L39" s="52">
        <v>0</v>
      </c>
      <c r="M39" s="52">
        <v>0</v>
      </c>
      <c r="N39" s="53">
        <v>0</v>
      </c>
      <c r="O39" s="74">
        <v>474</v>
      </c>
      <c r="P39" s="74">
        <v>474</v>
      </c>
      <c r="Q39" s="74">
        <v>474</v>
      </c>
      <c r="R39" s="74">
        <v>474</v>
      </c>
      <c r="S39" s="98">
        <v>1</v>
      </c>
      <c r="T39" s="67">
        <v>0</v>
      </c>
      <c r="U39" s="68">
        <v>0</v>
      </c>
    </row>
    <row r="40" ht="14.5" spans="2:21">
      <c r="B40" s="70"/>
      <c r="C40" s="99" t="s">
        <v>3</v>
      </c>
      <c r="D40" s="100">
        <v>0.879668049792531</v>
      </c>
      <c r="E40" s="100">
        <v>0.880993520518359</v>
      </c>
      <c r="F40" s="101">
        <v>3095</v>
      </c>
      <c r="G40" s="101">
        <v>3093</v>
      </c>
      <c r="H40" s="102">
        <v>3076</v>
      </c>
      <c r="I40" s="103">
        <v>984</v>
      </c>
      <c r="J40" s="103">
        <v>976</v>
      </c>
      <c r="K40" s="104">
        <v>28</v>
      </c>
      <c r="L40" s="103">
        <v>551</v>
      </c>
      <c r="M40" s="103">
        <v>547</v>
      </c>
      <c r="N40" s="104">
        <v>74</v>
      </c>
      <c r="O40" s="105">
        <v>4630</v>
      </c>
      <c r="P40" s="105">
        <v>4616</v>
      </c>
      <c r="Q40" s="105">
        <v>3178</v>
      </c>
      <c r="R40" s="105">
        <v>4079</v>
      </c>
      <c r="S40" s="106">
        <v>0.688474870017331</v>
      </c>
      <c r="T40" s="65">
        <v>551</v>
      </c>
      <c r="U40" s="66">
        <v>635</v>
      </c>
    </row>
    <row r="41" ht="14.5" spans="2:21">
      <c r="B41" s="70" t="s">
        <v>14</v>
      </c>
      <c r="C41" s="97" t="s">
        <v>2</v>
      </c>
      <c r="D41" s="51">
        <v>1</v>
      </c>
      <c r="E41" s="51">
        <v>1</v>
      </c>
      <c r="F41" s="72">
        <v>359</v>
      </c>
      <c r="G41" s="72">
        <v>359</v>
      </c>
      <c r="H41" s="73">
        <v>359</v>
      </c>
      <c r="I41" s="52">
        <v>1</v>
      </c>
      <c r="J41" s="52">
        <v>1</v>
      </c>
      <c r="K41" s="53">
        <v>1</v>
      </c>
      <c r="L41" s="52">
        <v>0</v>
      </c>
      <c r="M41" s="52">
        <v>0</v>
      </c>
      <c r="N41" s="53">
        <v>0</v>
      </c>
      <c r="O41" s="74">
        <v>360</v>
      </c>
      <c r="P41" s="74">
        <v>360</v>
      </c>
      <c r="Q41" s="74">
        <v>360</v>
      </c>
      <c r="R41" s="74">
        <v>360</v>
      </c>
      <c r="S41" s="98">
        <v>1</v>
      </c>
      <c r="T41" s="67">
        <v>0</v>
      </c>
      <c r="U41" s="68">
        <v>5</v>
      </c>
    </row>
    <row r="42" ht="14.5" spans="2:21">
      <c r="B42" s="70"/>
      <c r="C42" s="99" t="s">
        <v>3</v>
      </c>
      <c r="D42" s="100">
        <v>0.990878938640133</v>
      </c>
      <c r="E42" s="100">
        <v>0.991429361349184</v>
      </c>
      <c r="F42" s="101">
        <v>1698</v>
      </c>
      <c r="G42" s="101">
        <v>1696</v>
      </c>
      <c r="H42" s="102">
        <v>1694</v>
      </c>
      <c r="I42" s="103">
        <v>1888</v>
      </c>
      <c r="J42" s="103">
        <v>1876</v>
      </c>
      <c r="K42" s="104">
        <v>1850</v>
      </c>
      <c r="L42" s="103">
        <v>31</v>
      </c>
      <c r="M42" s="103">
        <v>30</v>
      </c>
      <c r="N42" s="104">
        <v>10</v>
      </c>
      <c r="O42" s="105">
        <v>3617</v>
      </c>
      <c r="P42" s="105">
        <v>3602</v>
      </c>
      <c r="Q42" s="105">
        <v>3554</v>
      </c>
      <c r="R42" s="105">
        <v>3586</v>
      </c>
      <c r="S42" s="106">
        <v>0.986674069961133</v>
      </c>
      <c r="T42" s="65">
        <v>31</v>
      </c>
      <c r="U42" s="66">
        <v>844</v>
      </c>
    </row>
    <row r="43" ht="14.5" spans="2:21">
      <c r="B43" s="70" t="s">
        <v>15</v>
      </c>
      <c r="C43" s="97" t="s">
        <v>2</v>
      </c>
      <c r="D43" s="51">
        <v>0.991913746630728</v>
      </c>
      <c r="E43" s="51">
        <v>0.997304582210243</v>
      </c>
      <c r="F43" s="72">
        <v>370</v>
      </c>
      <c r="G43" s="72">
        <v>370</v>
      </c>
      <c r="H43" s="73">
        <v>370</v>
      </c>
      <c r="I43" s="52">
        <v>0</v>
      </c>
      <c r="J43" s="52">
        <v>0</v>
      </c>
      <c r="K43" s="53">
        <v>0</v>
      </c>
      <c r="L43" s="52">
        <v>1</v>
      </c>
      <c r="M43" s="52">
        <v>1</v>
      </c>
      <c r="N43" s="53">
        <v>0</v>
      </c>
      <c r="O43" s="74">
        <v>371</v>
      </c>
      <c r="P43" s="74">
        <v>371</v>
      </c>
      <c r="Q43" s="74">
        <v>370</v>
      </c>
      <c r="R43" s="74">
        <v>370</v>
      </c>
      <c r="S43" s="98">
        <v>0.997304582210243</v>
      </c>
      <c r="T43" s="67">
        <v>1</v>
      </c>
      <c r="U43" s="68">
        <v>1</v>
      </c>
    </row>
    <row r="44" ht="14.5" spans="2:21">
      <c r="B44" s="70"/>
      <c r="C44" s="99" t="s">
        <v>3</v>
      </c>
      <c r="D44" s="100">
        <v>0.988141090614231</v>
      </c>
      <c r="E44" s="100">
        <v>0.988243640417553</v>
      </c>
      <c r="F44" s="101">
        <v>7758</v>
      </c>
      <c r="G44" s="101">
        <v>7757</v>
      </c>
      <c r="H44" s="102">
        <v>7751</v>
      </c>
      <c r="I44" s="103">
        <v>1993</v>
      </c>
      <c r="J44" s="103">
        <v>1992</v>
      </c>
      <c r="K44" s="104">
        <v>1929</v>
      </c>
      <c r="L44" s="103">
        <v>116</v>
      </c>
      <c r="M44" s="103">
        <v>78</v>
      </c>
      <c r="N44" s="104">
        <v>9</v>
      </c>
      <c r="O44" s="105">
        <v>9867</v>
      </c>
      <c r="P44" s="105">
        <v>9827</v>
      </c>
      <c r="Q44" s="105">
        <v>9689</v>
      </c>
      <c r="R44" s="105">
        <v>9751</v>
      </c>
      <c r="S44" s="106">
        <v>0.985957057087616</v>
      </c>
      <c r="T44" s="65">
        <v>116</v>
      </c>
      <c r="U44" s="66">
        <v>614</v>
      </c>
    </row>
    <row r="45" ht="14.5" spans="2:21">
      <c r="B45" s="70" t="s">
        <v>16</v>
      </c>
      <c r="C45" s="97" t="s">
        <v>2</v>
      </c>
      <c r="D45" s="51">
        <v>0.993769470404984</v>
      </c>
      <c r="E45" s="51">
        <v>0.996884735202492</v>
      </c>
      <c r="F45" s="72">
        <v>315</v>
      </c>
      <c r="G45" s="72">
        <v>315</v>
      </c>
      <c r="H45" s="73">
        <v>315</v>
      </c>
      <c r="I45" s="52">
        <v>5</v>
      </c>
      <c r="J45" s="52">
        <v>5</v>
      </c>
      <c r="K45" s="53">
        <v>4</v>
      </c>
      <c r="L45" s="52">
        <v>1</v>
      </c>
      <c r="M45" s="52">
        <v>1</v>
      </c>
      <c r="N45" s="53">
        <v>0</v>
      </c>
      <c r="O45" s="74">
        <v>321</v>
      </c>
      <c r="P45" s="74">
        <v>321</v>
      </c>
      <c r="Q45" s="74">
        <v>319</v>
      </c>
      <c r="R45" s="74">
        <v>320</v>
      </c>
      <c r="S45" s="98">
        <v>0.993769470404984</v>
      </c>
      <c r="T45" s="67">
        <v>1</v>
      </c>
      <c r="U45" s="68">
        <v>2</v>
      </c>
    </row>
    <row r="46" ht="14.5" spans="2:21">
      <c r="B46" s="70"/>
      <c r="C46" s="99" t="s">
        <v>3</v>
      </c>
      <c r="D46" s="100">
        <v>0.929884496502359</v>
      </c>
      <c r="E46" s="100">
        <v>0.929582045861116</v>
      </c>
      <c r="F46" s="101">
        <v>816</v>
      </c>
      <c r="G46" s="101">
        <v>816</v>
      </c>
      <c r="H46" s="102">
        <v>809</v>
      </c>
      <c r="I46" s="103">
        <v>4900</v>
      </c>
      <c r="J46" s="103">
        <v>4874</v>
      </c>
      <c r="K46" s="104">
        <v>4694</v>
      </c>
      <c r="L46" s="103">
        <v>433</v>
      </c>
      <c r="M46" s="103">
        <v>427</v>
      </c>
      <c r="N46" s="104">
        <v>312</v>
      </c>
      <c r="O46" s="105">
        <v>6149</v>
      </c>
      <c r="P46" s="105">
        <v>6117</v>
      </c>
      <c r="Q46" s="105">
        <v>5815</v>
      </c>
      <c r="R46" s="105">
        <v>5716</v>
      </c>
      <c r="S46" s="106">
        <v>0.950629393493543</v>
      </c>
      <c r="T46" s="65">
        <v>433</v>
      </c>
      <c r="U46" s="66">
        <v>895</v>
      </c>
    </row>
    <row r="47" ht="14.5" spans="2:21">
      <c r="B47" s="70" t="s">
        <v>17</v>
      </c>
      <c r="C47" s="97" t="s">
        <v>2</v>
      </c>
      <c r="D47" s="51">
        <v>0.993548387096774</v>
      </c>
      <c r="E47" s="51">
        <v>0.993464052287582</v>
      </c>
      <c r="F47" s="72">
        <v>151</v>
      </c>
      <c r="G47" s="72">
        <v>151</v>
      </c>
      <c r="H47" s="73">
        <v>151</v>
      </c>
      <c r="I47" s="52">
        <v>1</v>
      </c>
      <c r="J47" s="52">
        <v>1</v>
      </c>
      <c r="K47" s="53">
        <v>1</v>
      </c>
      <c r="L47" s="52">
        <v>1</v>
      </c>
      <c r="M47" s="52">
        <v>1</v>
      </c>
      <c r="N47" s="53">
        <v>0</v>
      </c>
      <c r="O47" s="74">
        <v>153</v>
      </c>
      <c r="P47" s="74">
        <v>153</v>
      </c>
      <c r="Q47" s="74">
        <v>152</v>
      </c>
      <c r="R47" s="74">
        <v>152</v>
      </c>
      <c r="S47" s="98">
        <v>0.993464052287582</v>
      </c>
      <c r="T47" s="67">
        <v>1</v>
      </c>
      <c r="U47" s="68">
        <v>1</v>
      </c>
    </row>
    <row r="48" ht="14.5" spans="2:21">
      <c r="B48" s="70"/>
      <c r="C48" s="99" t="s">
        <v>3</v>
      </c>
      <c r="D48" s="100">
        <v>0.954176485991097</v>
      </c>
      <c r="E48" s="100">
        <v>0.969427750195976</v>
      </c>
      <c r="F48" s="101">
        <v>3641</v>
      </c>
      <c r="G48" s="101">
        <v>3640</v>
      </c>
      <c r="H48" s="102">
        <v>3626</v>
      </c>
      <c r="I48" s="103">
        <v>69</v>
      </c>
      <c r="J48" s="103">
        <v>68</v>
      </c>
      <c r="K48" s="104">
        <v>11</v>
      </c>
      <c r="L48" s="103">
        <v>117</v>
      </c>
      <c r="M48" s="103">
        <v>109</v>
      </c>
      <c r="N48" s="104">
        <v>25</v>
      </c>
      <c r="O48" s="105">
        <v>3827</v>
      </c>
      <c r="P48" s="105">
        <v>3817</v>
      </c>
      <c r="Q48" s="105">
        <v>3662</v>
      </c>
      <c r="R48" s="105">
        <v>3710</v>
      </c>
      <c r="S48" s="106">
        <v>0.959392192821588</v>
      </c>
      <c r="T48" s="65">
        <v>117</v>
      </c>
      <c r="U48" s="66">
        <v>210</v>
      </c>
    </row>
    <row r="49" ht="14.5" spans="2:21">
      <c r="B49" s="70" t="s">
        <v>18</v>
      </c>
      <c r="C49" s="97" t="s">
        <v>2</v>
      </c>
      <c r="D49" s="51">
        <v>0.870689655172414</v>
      </c>
      <c r="E49" s="51">
        <v>0.870689655172414</v>
      </c>
      <c r="F49" s="72">
        <v>101</v>
      </c>
      <c r="G49" s="72">
        <v>101</v>
      </c>
      <c r="H49" s="73">
        <v>101</v>
      </c>
      <c r="I49" s="52">
        <v>0</v>
      </c>
      <c r="J49" s="52">
        <v>0</v>
      </c>
      <c r="K49" s="53">
        <v>0</v>
      </c>
      <c r="L49" s="52">
        <v>15</v>
      </c>
      <c r="M49" s="52">
        <v>15</v>
      </c>
      <c r="N49" s="53">
        <v>15</v>
      </c>
      <c r="O49" s="74">
        <v>116</v>
      </c>
      <c r="P49" s="74">
        <v>116</v>
      </c>
      <c r="Q49" s="74">
        <v>116</v>
      </c>
      <c r="R49" s="74">
        <v>101</v>
      </c>
      <c r="S49" s="98">
        <v>1</v>
      </c>
      <c r="T49" s="67">
        <v>15</v>
      </c>
      <c r="U49" s="68">
        <v>2</v>
      </c>
    </row>
    <row r="50" ht="14.5" spans="2:21">
      <c r="B50" s="70"/>
      <c r="C50" s="99" t="s">
        <v>3</v>
      </c>
      <c r="D50" s="100">
        <v>0.965204236006051</v>
      </c>
      <c r="E50" s="100">
        <v>0.965934897804693</v>
      </c>
      <c r="F50" s="101">
        <v>891</v>
      </c>
      <c r="G50" s="101">
        <v>891</v>
      </c>
      <c r="H50" s="102">
        <v>888</v>
      </c>
      <c r="I50" s="103">
        <v>1661</v>
      </c>
      <c r="J50" s="103">
        <v>1651</v>
      </c>
      <c r="K50" s="104">
        <v>1646</v>
      </c>
      <c r="L50" s="103">
        <v>90</v>
      </c>
      <c r="M50" s="103">
        <v>89</v>
      </c>
      <c r="N50" s="104">
        <v>83</v>
      </c>
      <c r="O50" s="105">
        <v>2642</v>
      </c>
      <c r="P50" s="105">
        <v>2631</v>
      </c>
      <c r="Q50" s="105">
        <v>2617</v>
      </c>
      <c r="R50" s="105">
        <v>2552</v>
      </c>
      <c r="S50" s="106">
        <v>0.994678829342455</v>
      </c>
      <c r="T50" s="65">
        <v>90</v>
      </c>
      <c r="U50" s="66">
        <v>264</v>
      </c>
    </row>
    <row r="51" ht="14.5" spans="2:21">
      <c r="B51" s="70" t="s">
        <v>19</v>
      </c>
      <c r="C51" s="97" t="s">
        <v>2</v>
      </c>
      <c r="D51" s="51">
        <v>1</v>
      </c>
      <c r="E51" s="51">
        <v>1</v>
      </c>
      <c r="F51" s="72">
        <v>117</v>
      </c>
      <c r="G51" s="72">
        <v>114</v>
      </c>
      <c r="H51" s="73">
        <v>111</v>
      </c>
      <c r="I51" s="52">
        <v>3</v>
      </c>
      <c r="J51" s="52">
        <v>3</v>
      </c>
      <c r="K51" s="53">
        <v>1</v>
      </c>
      <c r="L51" s="52">
        <v>0</v>
      </c>
      <c r="M51" s="52">
        <v>0</v>
      </c>
      <c r="N51" s="53">
        <v>0</v>
      </c>
      <c r="O51" s="74">
        <v>120</v>
      </c>
      <c r="P51" s="74">
        <v>117</v>
      </c>
      <c r="Q51" s="74">
        <v>112</v>
      </c>
      <c r="R51" s="74">
        <v>120</v>
      </c>
      <c r="S51" s="98">
        <v>0.957264957264957</v>
      </c>
      <c r="T51" s="67">
        <v>0</v>
      </c>
      <c r="U51" s="68">
        <v>0</v>
      </c>
    </row>
    <row r="52" ht="14.5" spans="2:21">
      <c r="B52" s="70"/>
      <c r="C52" s="99" t="s">
        <v>3</v>
      </c>
      <c r="D52" s="100">
        <v>0.987809833401056</v>
      </c>
      <c r="E52" s="100">
        <v>0.987814784727864</v>
      </c>
      <c r="F52" s="101">
        <v>374</v>
      </c>
      <c r="G52" s="101">
        <v>361</v>
      </c>
      <c r="H52" s="102">
        <v>360</v>
      </c>
      <c r="I52" s="103">
        <v>2058</v>
      </c>
      <c r="J52" s="103">
        <v>2049</v>
      </c>
      <c r="K52" s="104">
        <v>1785</v>
      </c>
      <c r="L52" s="103">
        <v>30</v>
      </c>
      <c r="M52" s="103">
        <v>29</v>
      </c>
      <c r="N52" s="104">
        <v>7</v>
      </c>
      <c r="O52" s="105">
        <v>2462</v>
      </c>
      <c r="P52" s="105">
        <v>2439</v>
      </c>
      <c r="Q52" s="105">
        <v>2152</v>
      </c>
      <c r="R52" s="105">
        <v>2432</v>
      </c>
      <c r="S52" s="106">
        <v>0.882328823288233</v>
      </c>
      <c r="T52" s="65">
        <v>30</v>
      </c>
      <c r="U52" s="66">
        <v>204</v>
      </c>
    </row>
    <row r="53" ht="14.5" spans="2:21">
      <c r="B53" s="70" t="s">
        <v>20</v>
      </c>
      <c r="C53" s="97" t="s">
        <v>2</v>
      </c>
      <c r="D53" s="51">
        <v>1</v>
      </c>
      <c r="E53" s="51">
        <v>1</v>
      </c>
      <c r="F53" s="72">
        <v>116</v>
      </c>
      <c r="G53" s="72">
        <v>116</v>
      </c>
      <c r="H53" s="73">
        <v>114</v>
      </c>
      <c r="I53" s="52">
        <v>0</v>
      </c>
      <c r="J53" s="52">
        <v>0</v>
      </c>
      <c r="K53" s="53">
        <v>0</v>
      </c>
      <c r="L53" s="52">
        <v>0</v>
      </c>
      <c r="M53" s="52">
        <v>0</v>
      </c>
      <c r="N53" s="53">
        <v>0</v>
      </c>
      <c r="O53" s="74">
        <v>116</v>
      </c>
      <c r="P53" s="74">
        <v>116</v>
      </c>
      <c r="Q53" s="74">
        <v>114</v>
      </c>
      <c r="R53" s="74">
        <v>116</v>
      </c>
      <c r="S53" s="98">
        <v>0.982758620689655</v>
      </c>
      <c r="T53" s="67">
        <v>0</v>
      </c>
      <c r="U53" s="68">
        <v>0</v>
      </c>
    </row>
    <row r="54" ht="14.5" spans="2:21">
      <c r="B54" s="70"/>
      <c r="C54" s="99" t="s">
        <v>3</v>
      </c>
      <c r="D54" s="100">
        <v>0.968580715059588</v>
      </c>
      <c r="E54" s="100">
        <v>0.970715835140998</v>
      </c>
      <c r="F54" s="101">
        <v>715</v>
      </c>
      <c r="G54" s="101">
        <v>715</v>
      </c>
      <c r="H54" s="102">
        <v>692</v>
      </c>
      <c r="I54" s="103">
        <v>180</v>
      </c>
      <c r="J54" s="103">
        <v>180</v>
      </c>
      <c r="K54" s="104">
        <v>175</v>
      </c>
      <c r="L54" s="103">
        <v>27</v>
      </c>
      <c r="M54" s="103">
        <v>27</v>
      </c>
      <c r="N54" s="104">
        <v>7</v>
      </c>
      <c r="O54" s="105">
        <v>922</v>
      </c>
      <c r="P54" s="105">
        <v>922</v>
      </c>
      <c r="Q54" s="105">
        <v>874</v>
      </c>
      <c r="R54" s="105">
        <v>895</v>
      </c>
      <c r="S54" s="106">
        <v>0.947939262472885</v>
      </c>
      <c r="T54" s="65">
        <v>27</v>
      </c>
      <c r="U54" s="66">
        <v>117</v>
      </c>
    </row>
    <row r="55" ht="14.5" spans="2:21">
      <c r="B55" s="70" t="s">
        <v>21</v>
      </c>
      <c r="C55" s="97" t="s">
        <v>2</v>
      </c>
      <c r="D55" s="51">
        <v>1</v>
      </c>
      <c r="E55" s="51">
        <v>1</v>
      </c>
      <c r="F55" s="72">
        <v>45</v>
      </c>
      <c r="G55" s="72">
        <v>45</v>
      </c>
      <c r="H55" s="73">
        <v>43</v>
      </c>
      <c r="I55" s="52">
        <v>0</v>
      </c>
      <c r="J55" s="52">
        <v>0</v>
      </c>
      <c r="K55" s="53">
        <v>0</v>
      </c>
      <c r="L55" s="52">
        <v>0</v>
      </c>
      <c r="M55" s="52">
        <v>0</v>
      </c>
      <c r="N55" s="53">
        <v>0</v>
      </c>
      <c r="O55" s="74">
        <v>45</v>
      </c>
      <c r="P55" s="74">
        <v>45</v>
      </c>
      <c r="Q55" s="74">
        <v>43</v>
      </c>
      <c r="R55" s="74">
        <v>45</v>
      </c>
      <c r="S55" s="98">
        <v>0.955555555555556</v>
      </c>
      <c r="T55" s="67">
        <v>0</v>
      </c>
      <c r="U55" s="68">
        <v>0</v>
      </c>
    </row>
    <row r="56" ht="14.5" spans="2:21">
      <c r="B56" s="70"/>
      <c r="C56" s="99" t="s">
        <v>3</v>
      </c>
      <c r="D56" s="100">
        <v>0.985310734463277</v>
      </c>
      <c r="E56" s="100">
        <v>0.985277463193658</v>
      </c>
      <c r="F56" s="101">
        <v>449</v>
      </c>
      <c r="G56" s="101">
        <v>449</v>
      </c>
      <c r="H56" s="102">
        <v>412</v>
      </c>
      <c r="I56" s="103">
        <v>421</v>
      </c>
      <c r="J56" s="103">
        <v>420</v>
      </c>
      <c r="K56" s="104">
        <v>335</v>
      </c>
      <c r="L56" s="103">
        <v>13</v>
      </c>
      <c r="M56" s="103">
        <v>13</v>
      </c>
      <c r="N56" s="104">
        <v>4</v>
      </c>
      <c r="O56" s="105">
        <v>883</v>
      </c>
      <c r="P56" s="105">
        <v>882</v>
      </c>
      <c r="Q56" s="105">
        <v>751</v>
      </c>
      <c r="R56" s="105">
        <v>870</v>
      </c>
      <c r="S56" s="106">
        <v>0.851473922902494</v>
      </c>
      <c r="T56" s="65">
        <v>13</v>
      </c>
      <c r="U56" s="66">
        <v>89</v>
      </c>
    </row>
    <row r="57" ht="14.5" spans="2:21">
      <c r="B57" s="70" t="s">
        <v>22</v>
      </c>
      <c r="C57" s="97" t="s">
        <v>2</v>
      </c>
      <c r="D57" s="51">
        <v>1</v>
      </c>
      <c r="E57" s="51">
        <v>1</v>
      </c>
      <c r="F57" s="72">
        <v>22</v>
      </c>
      <c r="G57" s="72">
        <v>22</v>
      </c>
      <c r="H57" s="73">
        <v>22</v>
      </c>
      <c r="I57" s="52">
        <v>0</v>
      </c>
      <c r="J57" s="52">
        <v>0</v>
      </c>
      <c r="K57" s="53">
        <v>0</v>
      </c>
      <c r="L57" s="52">
        <v>0</v>
      </c>
      <c r="M57" s="52">
        <v>0</v>
      </c>
      <c r="N57" s="53">
        <v>0</v>
      </c>
      <c r="O57" s="74">
        <v>22</v>
      </c>
      <c r="P57" s="74">
        <v>22</v>
      </c>
      <c r="Q57" s="74">
        <v>22</v>
      </c>
      <c r="R57" s="74">
        <v>22</v>
      </c>
      <c r="S57" s="98">
        <v>1</v>
      </c>
      <c r="T57" s="67">
        <v>0</v>
      </c>
      <c r="U57" s="68">
        <v>0</v>
      </c>
    </row>
    <row r="58" ht="14.5" spans="2:21">
      <c r="B58" s="70"/>
      <c r="C58" s="99" t="s">
        <v>3</v>
      </c>
      <c r="D58" s="100">
        <v>0.802513464991023</v>
      </c>
      <c r="E58" s="100">
        <v>0.800718132854578</v>
      </c>
      <c r="F58" s="101">
        <v>445</v>
      </c>
      <c r="G58" s="101">
        <v>444</v>
      </c>
      <c r="H58" s="102">
        <v>438</v>
      </c>
      <c r="I58" s="103">
        <v>1</v>
      </c>
      <c r="J58" s="103">
        <v>1</v>
      </c>
      <c r="K58" s="104">
        <v>0</v>
      </c>
      <c r="L58" s="103">
        <v>111</v>
      </c>
      <c r="M58" s="103">
        <v>111</v>
      </c>
      <c r="N58" s="104">
        <v>107</v>
      </c>
      <c r="O58" s="105">
        <v>557</v>
      </c>
      <c r="P58" s="105">
        <v>556</v>
      </c>
      <c r="Q58" s="105">
        <v>545</v>
      </c>
      <c r="R58" s="105">
        <v>446</v>
      </c>
      <c r="S58" s="106">
        <v>0.98021582733813</v>
      </c>
      <c r="T58" s="65">
        <v>111</v>
      </c>
      <c r="U58" s="66">
        <v>73</v>
      </c>
    </row>
    <row r="59" ht="14.5" spans="2:21">
      <c r="B59" s="70" t="s">
        <v>23</v>
      </c>
      <c r="C59" s="97" t="s">
        <v>2</v>
      </c>
      <c r="D59" s="51">
        <v>1</v>
      </c>
      <c r="E59" s="51">
        <v>1</v>
      </c>
      <c r="F59" s="72">
        <v>19</v>
      </c>
      <c r="G59" s="72">
        <v>19</v>
      </c>
      <c r="H59" s="73">
        <v>19</v>
      </c>
      <c r="I59" s="52">
        <v>0</v>
      </c>
      <c r="J59" s="52">
        <v>0</v>
      </c>
      <c r="K59" s="53">
        <v>0</v>
      </c>
      <c r="L59" s="52">
        <v>0</v>
      </c>
      <c r="M59" s="52">
        <v>0</v>
      </c>
      <c r="N59" s="53">
        <v>0</v>
      </c>
      <c r="O59" s="74">
        <v>19</v>
      </c>
      <c r="P59" s="74">
        <v>19</v>
      </c>
      <c r="Q59" s="74">
        <v>19</v>
      </c>
      <c r="R59" s="74">
        <v>19</v>
      </c>
      <c r="S59" s="98">
        <v>1</v>
      </c>
      <c r="T59" s="67">
        <v>0</v>
      </c>
      <c r="U59" s="68">
        <v>0</v>
      </c>
    </row>
    <row r="60" ht="14.5" spans="2:21">
      <c r="B60" s="70"/>
      <c r="C60" s="99" t="s">
        <v>3</v>
      </c>
      <c r="D60" s="100">
        <v>0.946351931330472</v>
      </c>
      <c r="E60" s="100">
        <v>0.946351931330472</v>
      </c>
      <c r="F60" s="101">
        <v>299</v>
      </c>
      <c r="G60" s="101">
        <v>299</v>
      </c>
      <c r="H60" s="102">
        <v>275</v>
      </c>
      <c r="I60" s="103">
        <v>142</v>
      </c>
      <c r="J60" s="103">
        <v>137</v>
      </c>
      <c r="K60" s="104">
        <v>132</v>
      </c>
      <c r="L60" s="103">
        <v>25</v>
      </c>
      <c r="M60" s="103">
        <v>8</v>
      </c>
      <c r="N60" s="104">
        <v>4</v>
      </c>
      <c r="O60" s="105">
        <v>466</v>
      </c>
      <c r="P60" s="105">
        <v>444</v>
      </c>
      <c r="Q60" s="105">
        <v>411</v>
      </c>
      <c r="R60" s="105">
        <v>441</v>
      </c>
      <c r="S60" s="106">
        <v>0.925675675675676</v>
      </c>
      <c r="T60" s="65">
        <v>25</v>
      </c>
      <c r="U60" s="66">
        <v>30</v>
      </c>
    </row>
    <row r="61" ht="14.5" spans="2:21">
      <c r="B61" s="70" t="s">
        <v>24</v>
      </c>
      <c r="C61" s="97" t="s">
        <v>2</v>
      </c>
      <c r="D61" s="51">
        <v>1</v>
      </c>
      <c r="E61" s="51">
        <v>1</v>
      </c>
      <c r="F61" s="72">
        <v>4</v>
      </c>
      <c r="G61" s="72">
        <v>4</v>
      </c>
      <c r="H61" s="73">
        <v>4</v>
      </c>
      <c r="I61" s="52">
        <v>0</v>
      </c>
      <c r="J61" s="52">
        <v>0</v>
      </c>
      <c r="K61" s="53">
        <v>0</v>
      </c>
      <c r="L61" s="52">
        <v>0</v>
      </c>
      <c r="M61" s="52">
        <v>0</v>
      </c>
      <c r="N61" s="53">
        <v>0</v>
      </c>
      <c r="O61" s="74">
        <v>4</v>
      </c>
      <c r="P61" s="74">
        <v>4</v>
      </c>
      <c r="Q61" s="74">
        <v>4</v>
      </c>
      <c r="R61" s="74">
        <v>4</v>
      </c>
      <c r="S61" s="98">
        <v>1</v>
      </c>
      <c r="T61" s="67">
        <v>0</v>
      </c>
      <c r="U61" s="68">
        <v>1</v>
      </c>
    </row>
    <row r="62" ht="14.5" spans="2:21">
      <c r="B62" s="70"/>
      <c r="C62" s="99" t="s">
        <v>3</v>
      </c>
      <c r="D62" s="100">
        <v>0.984251968503937</v>
      </c>
      <c r="E62" s="100">
        <v>0.984251968503937</v>
      </c>
      <c r="F62" s="101">
        <v>40</v>
      </c>
      <c r="G62" s="101">
        <v>40</v>
      </c>
      <c r="H62" s="102">
        <v>40</v>
      </c>
      <c r="I62" s="103">
        <v>85</v>
      </c>
      <c r="J62" s="103">
        <v>85</v>
      </c>
      <c r="K62" s="104">
        <v>85</v>
      </c>
      <c r="L62" s="103">
        <v>2</v>
      </c>
      <c r="M62" s="103">
        <v>2</v>
      </c>
      <c r="N62" s="104">
        <v>1</v>
      </c>
      <c r="O62" s="105">
        <v>127</v>
      </c>
      <c r="P62" s="105">
        <v>127</v>
      </c>
      <c r="Q62" s="105">
        <v>126</v>
      </c>
      <c r="R62" s="105">
        <v>125</v>
      </c>
      <c r="S62" s="106">
        <v>0.992125984251969</v>
      </c>
      <c r="T62" s="65">
        <v>2</v>
      </c>
      <c r="U62" s="66">
        <v>28</v>
      </c>
    </row>
    <row r="63" ht="14.5" spans="2:21">
      <c r="B63" s="70" t="s">
        <v>25</v>
      </c>
      <c r="C63" s="97" t="s">
        <v>2</v>
      </c>
      <c r="D63" s="51">
        <v>1</v>
      </c>
      <c r="E63" s="51">
        <v>1</v>
      </c>
      <c r="F63" s="72">
        <v>14</v>
      </c>
      <c r="G63" s="72">
        <v>14</v>
      </c>
      <c r="H63" s="73">
        <v>14</v>
      </c>
      <c r="I63" s="52">
        <v>0</v>
      </c>
      <c r="J63" s="52">
        <v>0</v>
      </c>
      <c r="K63" s="53">
        <v>0</v>
      </c>
      <c r="L63" s="52">
        <v>0</v>
      </c>
      <c r="M63" s="52">
        <v>0</v>
      </c>
      <c r="N63" s="53">
        <v>0</v>
      </c>
      <c r="O63" s="74">
        <v>14</v>
      </c>
      <c r="P63" s="74">
        <v>14</v>
      </c>
      <c r="Q63" s="74">
        <v>14</v>
      </c>
      <c r="R63" s="74">
        <v>14</v>
      </c>
      <c r="S63" s="98">
        <v>1</v>
      </c>
      <c r="T63" s="67">
        <v>0</v>
      </c>
      <c r="U63" s="68">
        <v>0</v>
      </c>
    </row>
    <row r="64" ht="14.5" spans="2:21">
      <c r="B64" s="70"/>
      <c r="C64" s="99" t="s">
        <v>3</v>
      </c>
      <c r="D64" s="100">
        <v>0.902439024390244</v>
      </c>
      <c r="E64" s="100">
        <v>0.902439024390244</v>
      </c>
      <c r="F64" s="101">
        <v>204</v>
      </c>
      <c r="G64" s="101">
        <v>203</v>
      </c>
      <c r="H64" s="102">
        <v>187</v>
      </c>
      <c r="I64" s="103">
        <v>18</v>
      </c>
      <c r="J64" s="103">
        <v>18</v>
      </c>
      <c r="K64" s="104">
        <v>12</v>
      </c>
      <c r="L64" s="103">
        <v>24</v>
      </c>
      <c r="M64" s="103">
        <v>23</v>
      </c>
      <c r="N64" s="104">
        <v>19</v>
      </c>
      <c r="O64" s="105">
        <v>246</v>
      </c>
      <c r="P64" s="105">
        <v>244</v>
      </c>
      <c r="Q64" s="105">
        <v>218</v>
      </c>
      <c r="R64" s="105">
        <v>222</v>
      </c>
      <c r="S64" s="106">
        <v>0.89344262295082</v>
      </c>
      <c r="T64" s="65">
        <v>24</v>
      </c>
      <c r="U64" s="66">
        <v>45</v>
      </c>
    </row>
    <row r="65" ht="14.5" spans="2:21">
      <c r="B65" s="70" t="s">
        <v>26</v>
      </c>
      <c r="C65" s="97" t="s">
        <v>2</v>
      </c>
      <c r="D65" s="51">
        <v>0.9375</v>
      </c>
      <c r="E65" s="51">
        <v>1</v>
      </c>
      <c r="F65" s="72">
        <v>15</v>
      </c>
      <c r="G65" s="72">
        <v>15</v>
      </c>
      <c r="H65" s="73">
        <v>15</v>
      </c>
      <c r="I65" s="52">
        <v>0</v>
      </c>
      <c r="J65" s="52">
        <v>0</v>
      </c>
      <c r="K65" s="53">
        <v>0</v>
      </c>
      <c r="L65" s="52">
        <v>0</v>
      </c>
      <c r="M65" s="52">
        <v>0</v>
      </c>
      <c r="N65" s="53">
        <v>0</v>
      </c>
      <c r="O65" s="74">
        <v>15</v>
      </c>
      <c r="P65" s="74">
        <v>15</v>
      </c>
      <c r="Q65" s="74">
        <v>15</v>
      </c>
      <c r="R65" s="74">
        <v>15</v>
      </c>
      <c r="S65" s="98">
        <v>1</v>
      </c>
      <c r="T65" s="67">
        <v>0</v>
      </c>
      <c r="U65" s="68">
        <v>1</v>
      </c>
    </row>
    <row r="66" ht="14.5" spans="2:21">
      <c r="B66" s="70"/>
      <c r="C66" s="99" t="s">
        <v>3</v>
      </c>
      <c r="D66" s="100">
        <v>0.811363636363636</v>
      </c>
      <c r="E66" s="100">
        <v>0.813636363636364</v>
      </c>
      <c r="F66" s="101">
        <v>241</v>
      </c>
      <c r="G66" s="101">
        <v>241</v>
      </c>
      <c r="H66" s="102">
        <v>235</v>
      </c>
      <c r="I66" s="103">
        <v>117</v>
      </c>
      <c r="J66" s="103">
        <v>112</v>
      </c>
      <c r="K66" s="104">
        <v>2</v>
      </c>
      <c r="L66" s="103">
        <v>82</v>
      </c>
      <c r="M66" s="103">
        <v>78</v>
      </c>
      <c r="N66" s="104">
        <v>1</v>
      </c>
      <c r="O66" s="105">
        <v>440</v>
      </c>
      <c r="P66" s="105">
        <v>431</v>
      </c>
      <c r="Q66" s="105">
        <v>238</v>
      </c>
      <c r="R66" s="105">
        <v>358</v>
      </c>
      <c r="S66" s="106">
        <v>0.552204176334107</v>
      </c>
      <c r="T66" s="65">
        <v>82</v>
      </c>
      <c r="U66" s="66">
        <v>110</v>
      </c>
    </row>
    <row r="67" ht="14.5" spans="2:21">
      <c r="B67" s="70" t="s">
        <v>27</v>
      </c>
      <c r="C67" s="97" t="s">
        <v>2</v>
      </c>
      <c r="D67" s="51">
        <v>1</v>
      </c>
      <c r="E67" s="51">
        <v>1</v>
      </c>
      <c r="F67" s="72">
        <v>12</v>
      </c>
      <c r="G67" s="72">
        <v>12</v>
      </c>
      <c r="H67" s="73">
        <v>12</v>
      </c>
      <c r="I67" s="52">
        <v>3</v>
      </c>
      <c r="J67" s="52">
        <v>3</v>
      </c>
      <c r="K67" s="53">
        <v>3</v>
      </c>
      <c r="L67" s="52">
        <v>0</v>
      </c>
      <c r="M67" s="52">
        <v>0</v>
      </c>
      <c r="N67" s="53">
        <v>0</v>
      </c>
      <c r="O67" s="74">
        <v>15</v>
      </c>
      <c r="P67" s="74">
        <v>15</v>
      </c>
      <c r="Q67" s="74">
        <v>15</v>
      </c>
      <c r="R67" s="74">
        <v>15</v>
      </c>
      <c r="S67" s="98">
        <v>1</v>
      </c>
      <c r="T67" s="67">
        <v>0</v>
      </c>
      <c r="U67" s="68">
        <v>0</v>
      </c>
    </row>
    <row r="68" ht="14.5" spans="2:21">
      <c r="B68" s="70"/>
      <c r="C68" s="99" t="s">
        <v>3</v>
      </c>
      <c r="D68" s="100">
        <v>0.976525821596244</v>
      </c>
      <c r="E68" s="100">
        <v>0.971830985915493</v>
      </c>
      <c r="F68" s="101">
        <v>216</v>
      </c>
      <c r="G68" s="101">
        <v>215</v>
      </c>
      <c r="H68" s="102">
        <v>194</v>
      </c>
      <c r="I68" s="103">
        <v>198</v>
      </c>
      <c r="J68" s="103">
        <v>198</v>
      </c>
      <c r="K68" s="104">
        <v>172</v>
      </c>
      <c r="L68" s="103">
        <v>12</v>
      </c>
      <c r="M68" s="103">
        <v>12</v>
      </c>
      <c r="N68" s="104">
        <v>1</v>
      </c>
      <c r="O68" s="105">
        <v>426</v>
      </c>
      <c r="P68" s="105">
        <v>425</v>
      </c>
      <c r="Q68" s="105">
        <v>367</v>
      </c>
      <c r="R68" s="105">
        <v>414</v>
      </c>
      <c r="S68" s="106">
        <v>0.863529411764706</v>
      </c>
      <c r="T68" s="65">
        <v>12</v>
      </c>
      <c r="U68" s="66">
        <v>34</v>
      </c>
    </row>
    <row r="69" ht="14.5" spans="2:21">
      <c r="B69" s="70" t="s">
        <v>28</v>
      </c>
      <c r="C69" s="97" t="s">
        <v>2</v>
      </c>
      <c r="D69" s="51">
        <v>0.916666666666667</v>
      </c>
      <c r="E69" s="51">
        <v>0.916666666666667</v>
      </c>
      <c r="F69" s="72">
        <v>11</v>
      </c>
      <c r="G69" s="72">
        <v>11</v>
      </c>
      <c r="H69" s="73">
        <v>11</v>
      </c>
      <c r="I69" s="52">
        <v>0</v>
      </c>
      <c r="J69" s="52">
        <v>0</v>
      </c>
      <c r="K69" s="53">
        <v>0</v>
      </c>
      <c r="L69" s="52">
        <v>1</v>
      </c>
      <c r="M69" s="52">
        <v>1</v>
      </c>
      <c r="N69" s="53">
        <v>1</v>
      </c>
      <c r="O69" s="74">
        <v>12</v>
      </c>
      <c r="P69" s="74">
        <v>12</v>
      </c>
      <c r="Q69" s="74">
        <v>12</v>
      </c>
      <c r="R69" s="74">
        <v>11</v>
      </c>
      <c r="S69" s="98">
        <v>1</v>
      </c>
      <c r="T69" s="67">
        <v>1</v>
      </c>
      <c r="U69" s="68">
        <v>0</v>
      </c>
    </row>
    <row r="70" ht="14.5" spans="2:21">
      <c r="B70" s="70"/>
      <c r="C70" s="99" t="s">
        <v>3</v>
      </c>
      <c r="D70" s="100">
        <v>0.981751824817518</v>
      </c>
      <c r="E70" s="100">
        <v>0.981751824817518</v>
      </c>
      <c r="F70" s="101">
        <v>139</v>
      </c>
      <c r="G70" s="101">
        <v>139</v>
      </c>
      <c r="H70" s="102">
        <v>139</v>
      </c>
      <c r="I70" s="103">
        <v>130</v>
      </c>
      <c r="J70" s="103">
        <v>130</v>
      </c>
      <c r="K70" s="104">
        <v>86</v>
      </c>
      <c r="L70" s="103">
        <v>5</v>
      </c>
      <c r="M70" s="103">
        <v>5</v>
      </c>
      <c r="N70" s="104">
        <v>3</v>
      </c>
      <c r="O70" s="105">
        <v>274</v>
      </c>
      <c r="P70" s="105">
        <v>274</v>
      </c>
      <c r="Q70" s="105">
        <v>228</v>
      </c>
      <c r="R70" s="105">
        <v>269</v>
      </c>
      <c r="S70" s="106">
        <v>0.832116788321168</v>
      </c>
      <c r="T70" s="65">
        <v>5</v>
      </c>
      <c r="U70" s="66">
        <v>42</v>
      </c>
    </row>
    <row r="71" ht="14.5" spans="2:21">
      <c r="B71" s="70" t="s">
        <v>29</v>
      </c>
      <c r="C71" s="97" t="s">
        <v>2</v>
      </c>
      <c r="D71" s="51">
        <v>1</v>
      </c>
      <c r="E71" s="51">
        <v>1</v>
      </c>
      <c r="F71" s="72">
        <v>58</v>
      </c>
      <c r="G71" s="72">
        <v>58</v>
      </c>
      <c r="H71" s="73">
        <v>58</v>
      </c>
      <c r="I71" s="52">
        <v>0</v>
      </c>
      <c r="J71" s="52">
        <v>0</v>
      </c>
      <c r="K71" s="53">
        <v>0</v>
      </c>
      <c r="L71" s="52">
        <v>0</v>
      </c>
      <c r="M71" s="52">
        <v>0</v>
      </c>
      <c r="N71" s="53">
        <v>0</v>
      </c>
      <c r="O71" s="74">
        <v>58</v>
      </c>
      <c r="P71" s="74">
        <v>58</v>
      </c>
      <c r="Q71" s="74">
        <v>58</v>
      </c>
      <c r="R71" s="74">
        <v>58</v>
      </c>
      <c r="S71" s="98">
        <v>1</v>
      </c>
      <c r="T71" s="67">
        <v>0</v>
      </c>
      <c r="U71" s="68">
        <v>0</v>
      </c>
    </row>
    <row r="72" ht="14.5" spans="2:21">
      <c r="B72" s="70"/>
      <c r="C72" s="99" t="s">
        <v>3</v>
      </c>
      <c r="D72" s="100">
        <v>0.994987468671679</v>
      </c>
      <c r="E72" s="100">
        <v>0.994987468671679</v>
      </c>
      <c r="F72" s="101">
        <v>167</v>
      </c>
      <c r="G72" s="101">
        <v>167</v>
      </c>
      <c r="H72" s="102">
        <v>166</v>
      </c>
      <c r="I72" s="103">
        <v>627</v>
      </c>
      <c r="J72" s="103">
        <v>624</v>
      </c>
      <c r="K72" s="104">
        <v>621</v>
      </c>
      <c r="L72" s="103">
        <v>4</v>
      </c>
      <c r="M72" s="103">
        <v>4</v>
      </c>
      <c r="N72" s="104">
        <v>1</v>
      </c>
      <c r="O72" s="105">
        <v>798</v>
      </c>
      <c r="P72" s="105">
        <v>795</v>
      </c>
      <c r="Q72" s="105">
        <v>788</v>
      </c>
      <c r="R72" s="105">
        <v>794</v>
      </c>
      <c r="S72" s="106">
        <v>0.991194968553459</v>
      </c>
      <c r="T72" s="65">
        <v>4</v>
      </c>
      <c r="U72" s="66">
        <v>88</v>
      </c>
    </row>
    <row r="73" ht="14.5" spans="2:21">
      <c r="B73" s="70" t="s">
        <v>30</v>
      </c>
      <c r="C73" s="97" t="s">
        <v>2</v>
      </c>
      <c r="D73" s="51">
        <v>0.984126984126984</v>
      </c>
      <c r="E73" s="51">
        <v>0.984126984126984</v>
      </c>
      <c r="F73" s="72">
        <v>60</v>
      </c>
      <c r="G73" s="72">
        <v>60</v>
      </c>
      <c r="H73" s="73">
        <v>60</v>
      </c>
      <c r="I73" s="52">
        <v>2</v>
      </c>
      <c r="J73" s="52">
        <v>2</v>
      </c>
      <c r="K73" s="53">
        <v>2</v>
      </c>
      <c r="L73" s="52">
        <v>1</v>
      </c>
      <c r="M73" s="52">
        <v>1</v>
      </c>
      <c r="N73" s="53">
        <v>1</v>
      </c>
      <c r="O73" s="74">
        <v>63</v>
      </c>
      <c r="P73" s="74">
        <v>63</v>
      </c>
      <c r="Q73" s="74">
        <v>63</v>
      </c>
      <c r="R73" s="74">
        <v>62</v>
      </c>
      <c r="S73" s="98">
        <v>1</v>
      </c>
      <c r="T73" s="67">
        <v>1</v>
      </c>
      <c r="U73" s="68">
        <v>0</v>
      </c>
    </row>
    <row r="74" ht="14.5" spans="2:21">
      <c r="B74" s="70"/>
      <c r="C74" s="99" t="s">
        <v>3</v>
      </c>
      <c r="D74" s="100">
        <v>0.970501474926254</v>
      </c>
      <c r="E74" s="100">
        <v>0.970443349753695</v>
      </c>
      <c r="F74" s="101">
        <v>680</v>
      </c>
      <c r="G74" s="101">
        <v>680</v>
      </c>
      <c r="H74" s="102">
        <v>674</v>
      </c>
      <c r="I74" s="103">
        <v>305</v>
      </c>
      <c r="J74" s="103">
        <v>305</v>
      </c>
      <c r="K74" s="104">
        <v>236</v>
      </c>
      <c r="L74" s="103">
        <v>30</v>
      </c>
      <c r="M74" s="103">
        <v>30</v>
      </c>
      <c r="N74" s="104">
        <v>5</v>
      </c>
      <c r="O74" s="105">
        <v>1015</v>
      </c>
      <c r="P74" s="105">
        <v>1015</v>
      </c>
      <c r="Q74" s="105">
        <v>915</v>
      </c>
      <c r="R74" s="105">
        <v>985</v>
      </c>
      <c r="S74" s="106">
        <v>0.901477832512315</v>
      </c>
      <c r="T74" s="65">
        <v>30</v>
      </c>
      <c r="U74" s="66">
        <v>87</v>
      </c>
    </row>
    <row r="75" ht="14.5" spans="2:21">
      <c r="B75" s="70" t="s">
        <v>31</v>
      </c>
      <c r="C75" s="97" t="s">
        <v>2</v>
      </c>
      <c r="D75" s="51">
        <v>1</v>
      </c>
      <c r="E75" s="51">
        <v>1</v>
      </c>
      <c r="F75" s="72">
        <v>21</v>
      </c>
      <c r="G75" s="72">
        <v>21</v>
      </c>
      <c r="H75" s="73">
        <v>21</v>
      </c>
      <c r="I75" s="52">
        <v>0</v>
      </c>
      <c r="J75" s="52">
        <v>0</v>
      </c>
      <c r="K75" s="53">
        <v>0</v>
      </c>
      <c r="L75" s="52">
        <v>0</v>
      </c>
      <c r="M75" s="52">
        <v>0</v>
      </c>
      <c r="N75" s="53">
        <v>0</v>
      </c>
      <c r="O75" s="74">
        <v>21</v>
      </c>
      <c r="P75" s="74">
        <v>21</v>
      </c>
      <c r="Q75" s="74">
        <v>21</v>
      </c>
      <c r="R75" s="74">
        <v>21</v>
      </c>
      <c r="S75" s="98">
        <v>1</v>
      </c>
      <c r="T75" s="67">
        <v>0</v>
      </c>
      <c r="U75" s="68">
        <v>0</v>
      </c>
    </row>
    <row r="76" ht="14.5" spans="2:21">
      <c r="B76" s="70"/>
      <c r="C76" s="99" t="s">
        <v>3</v>
      </c>
      <c r="D76" s="100">
        <v>1</v>
      </c>
      <c r="E76" s="100">
        <v>1</v>
      </c>
      <c r="F76" s="101">
        <v>181</v>
      </c>
      <c r="G76" s="101">
        <v>181</v>
      </c>
      <c r="H76" s="102">
        <v>181</v>
      </c>
      <c r="I76" s="103">
        <v>216</v>
      </c>
      <c r="J76" s="103">
        <v>214</v>
      </c>
      <c r="K76" s="104">
        <v>208</v>
      </c>
      <c r="L76" s="103">
        <v>0</v>
      </c>
      <c r="M76" s="103">
        <v>0</v>
      </c>
      <c r="N76" s="104">
        <v>0</v>
      </c>
      <c r="O76" s="105">
        <v>397</v>
      </c>
      <c r="P76" s="105">
        <v>395</v>
      </c>
      <c r="Q76" s="105">
        <v>389</v>
      </c>
      <c r="R76" s="105">
        <v>397</v>
      </c>
      <c r="S76" s="106">
        <v>0.984810126582279</v>
      </c>
      <c r="T76" s="65">
        <v>0</v>
      </c>
      <c r="U76" s="66">
        <v>33</v>
      </c>
    </row>
    <row r="77" ht="14.5" spans="2:21">
      <c r="B77" s="70" t="s">
        <v>32</v>
      </c>
      <c r="C77" s="97" t="s">
        <v>2</v>
      </c>
      <c r="D77" s="51">
        <v>1</v>
      </c>
      <c r="E77" s="51">
        <v>1</v>
      </c>
      <c r="F77" s="72">
        <v>30</v>
      </c>
      <c r="G77" s="72">
        <v>30</v>
      </c>
      <c r="H77" s="73">
        <v>30</v>
      </c>
      <c r="I77" s="52">
        <v>0</v>
      </c>
      <c r="J77" s="52">
        <v>0</v>
      </c>
      <c r="K77" s="53">
        <v>0</v>
      </c>
      <c r="L77" s="52">
        <v>0</v>
      </c>
      <c r="M77" s="52">
        <v>0</v>
      </c>
      <c r="N77" s="53">
        <v>0</v>
      </c>
      <c r="O77" s="74">
        <v>30</v>
      </c>
      <c r="P77" s="74">
        <v>30</v>
      </c>
      <c r="Q77" s="74">
        <v>30</v>
      </c>
      <c r="R77" s="74">
        <v>30</v>
      </c>
      <c r="S77" s="98">
        <v>1</v>
      </c>
      <c r="T77" s="67">
        <v>0</v>
      </c>
      <c r="U77" s="68">
        <v>0</v>
      </c>
    </row>
    <row r="78" ht="14.5" spans="2:21">
      <c r="B78" s="70"/>
      <c r="C78" s="99" t="s">
        <v>3</v>
      </c>
      <c r="D78" s="100">
        <v>0.973214285714286</v>
      </c>
      <c r="E78" s="100">
        <v>0.973214285714286</v>
      </c>
      <c r="F78" s="101">
        <v>356</v>
      </c>
      <c r="G78" s="101">
        <v>355</v>
      </c>
      <c r="H78" s="102">
        <v>349</v>
      </c>
      <c r="I78" s="103">
        <v>80</v>
      </c>
      <c r="J78" s="103">
        <v>77</v>
      </c>
      <c r="K78" s="104">
        <v>47</v>
      </c>
      <c r="L78" s="103">
        <v>12</v>
      </c>
      <c r="M78" s="103">
        <v>11</v>
      </c>
      <c r="N78" s="104">
        <v>9</v>
      </c>
      <c r="O78" s="105">
        <v>448</v>
      </c>
      <c r="P78" s="105">
        <v>443</v>
      </c>
      <c r="Q78" s="105">
        <v>405</v>
      </c>
      <c r="R78" s="105">
        <v>436</v>
      </c>
      <c r="S78" s="106">
        <v>0.914221218961625</v>
      </c>
      <c r="T78" s="65">
        <v>12</v>
      </c>
      <c r="U78" s="66">
        <v>59</v>
      </c>
    </row>
    <row r="79" ht="14.5" spans="2:21">
      <c r="B79" s="70" t="s">
        <v>33</v>
      </c>
      <c r="C79" s="97" t="s">
        <v>2</v>
      </c>
      <c r="D79" s="51">
        <v>1</v>
      </c>
      <c r="E79" s="51">
        <v>1</v>
      </c>
      <c r="F79" s="72">
        <v>19</v>
      </c>
      <c r="G79" s="72">
        <v>19</v>
      </c>
      <c r="H79" s="73">
        <v>19</v>
      </c>
      <c r="I79" s="52">
        <v>0</v>
      </c>
      <c r="J79" s="52">
        <v>0</v>
      </c>
      <c r="K79" s="53">
        <v>0</v>
      </c>
      <c r="L79" s="52">
        <v>0</v>
      </c>
      <c r="M79" s="52">
        <v>0</v>
      </c>
      <c r="N79" s="53">
        <v>0</v>
      </c>
      <c r="O79" s="74">
        <v>19</v>
      </c>
      <c r="P79" s="74">
        <v>19</v>
      </c>
      <c r="Q79" s="74">
        <v>19</v>
      </c>
      <c r="R79" s="74">
        <v>19</v>
      </c>
      <c r="S79" s="98">
        <v>1</v>
      </c>
      <c r="T79" s="56">
        <v>0</v>
      </c>
      <c r="U79" s="57">
        <v>1</v>
      </c>
    </row>
    <row r="80" ht="14.5" spans="2:21">
      <c r="B80" s="70"/>
      <c r="C80" s="99" t="s">
        <v>3</v>
      </c>
      <c r="D80" s="100">
        <v>0.997422680412371</v>
      </c>
      <c r="E80" s="100">
        <v>0.997422680412371</v>
      </c>
      <c r="F80" s="101">
        <v>17</v>
      </c>
      <c r="G80" s="101">
        <v>16</v>
      </c>
      <c r="H80" s="102">
        <v>16</v>
      </c>
      <c r="I80" s="103">
        <v>370</v>
      </c>
      <c r="J80" s="103">
        <v>365</v>
      </c>
      <c r="K80" s="104">
        <v>365</v>
      </c>
      <c r="L80" s="103">
        <v>1</v>
      </c>
      <c r="M80" s="103">
        <v>1</v>
      </c>
      <c r="N80" s="104">
        <v>0</v>
      </c>
      <c r="O80" s="105">
        <v>388</v>
      </c>
      <c r="P80" s="105">
        <v>382</v>
      </c>
      <c r="Q80" s="105">
        <v>381</v>
      </c>
      <c r="R80" s="105">
        <v>387</v>
      </c>
      <c r="S80" s="106">
        <v>0.99738219895288</v>
      </c>
      <c r="T80" s="65">
        <v>1</v>
      </c>
      <c r="U80" s="66">
        <v>50</v>
      </c>
    </row>
    <row r="81" customFormat="1" ht="14.5" spans="2:21">
      <c r="B81" s="70" t="s">
        <v>49</v>
      </c>
      <c r="C81" s="97" t="s">
        <v>2</v>
      </c>
      <c r="D81" s="51">
        <v>1</v>
      </c>
      <c r="E81" s="51">
        <v>1</v>
      </c>
      <c r="F81" s="72">
        <v>10</v>
      </c>
      <c r="G81" s="72">
        <v>10</v>
      </c>
      <c r="H81" s="73">
        <v>9</v>
      </c>
      <c r="I81" s="52">
        <v>0</v>
      </c>
      <c r="J81" s="52">
        <v>0</v>
      </c>
      <c r="K81" s="53">
        <v>0</v>
      </c>
      <c r="L81" s="52">
        <v>0</v>
      </c>
      <c r="M81" s="52">
        <v>0</v>
      </c>
      <c r="N81" s="53">
        <v>0</v>
      </c>
      <c r="O81" s="74">
        <v>10</v>
      </c>
      <c r="P81" s="74">
        <v>10</v>
      </c>
      <c r="Q81" s="74">
        <v>9</v>
      </c>
      <c r="R81" s="74">
        <v>10</v>
      </c>
      <c r="S81" s="98">
        <v>0.9</v>
      </c>
      <c r="T81" s="56">
        <v>0</v>
      </c>
      <c r="U81" s="57">
        <v>0</v>
      </c>
    </row>
    <row r="82" customFormat="1" ht="14.5" spans="2:21">
      <c r="B82" s="70"/>
      <c r="C82" s="99" t="s">
        <v>3</v>
      </c>
      <c r="D82" s="100">
        <v>1</v>
      </c>
      <c r="E82" s="100">
        <v>1</v>
      </c>
      <c r="F82" s="101">
        <v>3</v>
      </c>
      <c r="G82" s="101">
        <v>3</v>
      </c>
      <c r="H82" s="102">
        <v>3</v>
      </c>
      <c r="I82" s="103">
        <v>0</v>
      </c>
      <c r="J82" s="103">
        <v>0</v>
      </c>
      <c r="K82" s="104">
        <v>0</v>
      </c>
      <c r="L82" s="103">
        <v>0</v>
      </c>
      <c r="M82" s="103">
        <v>0</v>
      </c>
      <c r="N82" s="104">
        <v>0</v>
      </c>
      <c r="O82" s="105">
        <v>3</v>
      </c>
      <c r="P82" s="105">
        <v>3</v>
      </c>
      <c r="Q82" s="105">
        <v>3</v>
      </c>
      <c r="R82" s="105">
        <v>3</v>
      </c>
      <c r="S82" s="106">
        <v>1</v>
      </c>
      <c r="T82" s="65">
        <v>0</v>
      </c>
      <c r="U82" s="66">
        <v>0</v>
      </c>
    </row>
  </sheetData>
  <mergeCells count="40">
    <mergeCell ref="AB5:AE5"/>
    <mergeCell ref="AF5:AI5"/>
    <mergeCell ref="AJ5:AM5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C3:C5"/>
    <mergeCell ref="E3:E5"/>
    <mergeCell ref="F3:F5"/>
    <mergeCell ref="G3:G5"/>
    <mergeCell ref="I3:I5"/>
    <mergeCell ref="J3:J5"/>
    <mergeCell ref="K3:K5"/>
    <mergeCell ref="M3:M5"/>
    <mergeCell ref="N3:N5"/>
    <mergeCell ref="AA5:AA6"/>
    <mergeCell ref="C1:F2"/>
    <mergeCell ref="G1:J2"/>
    <mergeCell ref="K1:N2"/>
  </mergeCells>
  <conditionalFormatting sqref="AC8:AC28">
    <cfRule type="top10" dxfId="4" priority="12" rank="5"/>
    <cfRule type="top10" dxfId="3" priority="11" bottom="1" rank="5"/>
  </conditionalFormatting>
  <conditionalFormatting sqref="AE8:AE28">
    <cfRule type="top10" dxfId="2" priority="10" rank="5"/>
    <cfRule type="top10" dxfId="3" priority="9" bottom="1" rank="5"/>
  </conditionalFormatting>
  <conditionalFormatting sqref="AG8:AG28">
    <cfRule type="top10" dxfId="2" priority="8" rank="5"/>
    <cfRule type="top10" dxfId="3" priority="7" bottom="1" rank="5"/>
  </conditionalFormatting>
  <conditionalFormatting sqref="AI8:AI28">
    <cfRule type="top10" dxfId="2" priority="6" rank="5"/>
    <cfRule type="top10" dxfId="3" priority="5" bottom="1" rank="5"/>
  </conditionalFormatting>
  <conditionalFormatting sqref="AK8:AK28">
    <cfRule type="top10" dxfId="2" priority="4" rank="5"/>
    <cfRule type="top10" dxfId="3" priority="3" bottom="1" rank="5"/>
  </conditionalFormatting>
  <conditionalFormatting sqref="AM8:AM28">
    <cfRule type="top10" dxfId="2" priority="2" rank="5"/>
    <cfRule type="top10" dxfId="3" priority="1" bottom="1" rank="5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82"/>
  <sheetViews>
    <sheetView tabSelected="1" zoomScale="55" zoomScaleNormal="55" topLeftCell="A3" workbookViewId="0">
      <selection activeCell="AB35" sqref="AB35"/>
    </sheetView>
  </sheetViews>
  <sheetFormatPr defaultColWidth="8.72727272727273" defaultRowHeight="14"/>
  <cols>
    <col min="4" max="4" width="12.8181818181818"/>
    <col min="5" max="5" width="9.27272727272727"/>
    <col min="6" max="6" width="9.45454545454546"/>
    <col min="8" max="8" width="9.72727272727273" customWidth="1"/>
    <col min="12" max="12" width="9.54545454545454"/>
    <col min="14" max="14" width="9.54545454545454"/>
    <col min="19" max="19" width="13.2727272727273" customWidth="1"/>
    <col min="21" max="21" width="12.8181818181818"/>
  </cols>
  <sheetData>
    <row r="1" ht="67.5" customHeight="1" spans="2:39">
      <c r="B1" s="1" t="s">
        <v>82</v>
      </c>
      <c r="C1" s="2" t="s">
        <v>2</v>
      </c>
      <c r="D1" s="2"/>
      <c r="E1" s="2"/>
      <c r="F1" s="2"/>
      <c r="G1" s="2" t="s">
        <v>3</v>
      </c>
      <c r="H1" s="2"/>
      <c r="I1" s="2"/>
      <c r="J1" s="2"/>
      <c r="K1" s="2" t="s">
        <v>62</v>
      </c>
      <c r="L1" s="2"/>
      <c r="M1" s="2"/>
      <c r="N1" s="2"/>
    </row>
    <row r="2" ht="14.75" spans="2:39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49" customHeight="1" spans="2:39">
      <c r="B3" s="1" t="s">
        <v>63</v>
      </c>
      <c r="C3" s="4" t="s">
        <v>6</v>
      </c>
      <c r="D3" s="5" t="s">
        <v>64</v>
      </c>
      <c r="E3" s="4" t="s">
        <v>65</v>
      </c>
      <c r="F3" s="6" t="s">
        <v>66</v>
      </c>
      <c r="G3" s="4" t="s">
        <v>6</v>
      </c>
      <c r="H3" s="5" t="s">
        <v>64</v>
      </c>
      <c r="I3" s="4" t="s">
        <v>65</v>
      </c>
      <c r="J3" s="6" t="s">
        <v>66</v>
      </c>
      <c r="K3" s="4" t="s">
        <v>6</v>
      </c>
      <c r="L3" s="7" t="s">
        <v>64</v>
      </c>
      <c r="M3" s="4" t="s">
        <v>65</v>
      </c>
      <c r="N3" s="8" t="s">
        <v>11</v>
      </c>
    </row>
    <row r="4" ht="21.75" spans="2:39">
      <c r="B4" s="9"/>
      <c r="C4" s="4"/>
      <c r="D4" s="3"/>
      <c r="E4" s="4"/>
      <c r="F4" s="6"/>
      <c r="G4" s="4"/>
      <c r="H4" s="3"/>
      <c r="I4" s="4"/>
      <c r="J4" s="6"/>
      <c r="K4" s="4"/>
      <c r="L4" s="10"/>
      <c r="M4" s="4"/>
      <c r="N4" s="8"/>
      <c r="AA4" s="11" t="s">
        <v>83</v>
      </c>
    </row>
    <row r="5" ht="23.25" spans="2:39">
      <c r="B5" s="12"/>
      <c r="C5" s="4"/>
      <c r="D5" s="4" t="s">
        <v>68</v>
      </c>
      <c r="E5" s="4"/>
      <c r="F5" s="6"/>
      <c r="G5" s="4"/>
      <c r="H5" s="4" t="s">
        <v>68</v>
      </c>
      <c r="I5" s="4"/>
      <c r="J5" s="6"/>
      <c r="K5" s="4"/>
      <c r="L5" s="8" t="s">
        <v>68</v>
      </c>
      <c r="M5" s="4"/>
      <c r="N5" s="8"/>
      <c r="Q5" t="s">
        <v>69</v>
      </c>
      <c r="R5" t="s">
        <v>70</v>
      </c>
      <c r="S5" t="s">
        <v>71</v>
      </c>
      <c r="T5" t="s">
        <v>72</v>
      </c>
      <c r="U5" t="s">
        <v>64</v>
      </c>
      <c r="V5" t="s">
        <v>73</v>
      </c>
      <c r="W5" t="s">
        <v>74</v>
      </c>
      <c r="AA5" s="13" t="s">
        <v>0</v>
      </c>
      <c r="AB5" s="14" t="s">
        <v>2</v>
      </c>
      <c r="AC5" s="14"/>
      <c r="AD5" s="14"/>
      <c r="AE5" s="14"/>
      <c r="AF5" s="14" t="s">
        <v>3</v>
      </c>
      <c r="AG5" s="14"/>
      <c r="AH5" s="14"/>
      <c r="AI5" s="14"/>
      <c r="AJ5" s="14" t="s">
        <v>62</v>
      </c>
      <c r="AK5" s="14"/>
      <c r="AL5" s="14"/>
      <c r="AM5" s="14"/>
    </row>
    <row r="6" ht="36.75" spans="2:39">
      <c r="B6" s="15" t="s">
        <v>75</v>
      </c>
      <c r="C6" s="16">
        <f>O35</f>
        <v>2767</v>
      </c>
      <c r="D6" s="17">
        <f>E35*100</f>
        <v>98.9157932779183</v>
      </c>
      <c r="E6" s="16">
        <f>Q35</f>
        <v>2752</v>
      </c>
      <c r="F6" s="17">
        <f>S35*100</f>
        <v>99.4578966389592</v>
      </c>
      <c r="G6" s="16">
        <f>O36</f>
        <v>23777</v>
      </c>
      <c r="H6" s="17">
        <f>E36*100</f>
        <v>94.4694452622282</v>
      </c>
      <c r="I6" s="16">
        <f>Q36</f>
        <v>19558</v>
      </c>
      <c r="J6" s="17">
        <f>S36*100</f>
        <v>82.2559616436052</v>
      </c>
      <c r="K6" s="16">
        <f>C6+G6</f>
        <v>26544</v>
      </c>
      <c r="L6" s="17">
        <f>S6/K6*100</f>
        <v>94.9329415310428</v>
      </c>
      <c r="M6" s="16">
        <f>E6+I6</f>
        <v>22310</v>
      </c>
      <c r="N6" s="17">
        <f>M6/X6*100</f>
        <v>84.0491259795057</v>
      </c>
      <c r="P6">
        <f>K6-M6</f>
        <v>4234</v>
      </c>
      <c r="Q6" s="18">
        <f>R35</f>
        <v>2737</v>
      </c>
      <c r="R6" s="18">
        <f>R36</f>
        <v>22462</v>
      </c>
      <c r="S6">
        <f>Q6+R6</f>
        <v>25199</v>
      </c>
      <c r="T6">
        <f>K6-S6</f>
        <v>1345</v>
      </c>
      <c r="U6" s="19">
        <f>S6/K6</f>
        <v>0.949329415310428</v>
      </c>
      <c r="V6" s="18">
        <f>P35</f>
        <v>2767</v>
      </c>
      <c r="W6" s="18">
        <f>P36</f>
        <v>23777</v>
      </c>
      <c r="X6">
        <f>V6+W6</f>
        <v>26544</v>
      </c>
      <c r="AA6" s="13"/>
      <c r="AB6" s="20" t="s">
        <v>6</v>
      </c>
      <c r="AC6" s="20" t="s">
        <v>8</v>
      </c>
      <c r="AD6" s="20" t="s">
        <v>76</v>
      </c>
      <c r="AE6" s="20" t="s">
        <v>11</v>
      </c>
      <c r="AF6" s="20" t="s">
        <v>6</v>
      </c>
      <c r="AG6" s="20" t="s">
        <v>8</v>
      </c>
      <c r="AH6" s="20" t="s">
        <v>76</v>
      </c>
      <c r="AI6" s="20" t="s">
        <v>11</v>
      </c>
      <c r="AJ6" s="20" t="s">
        <v>6</v>
      </c>
      <c r="AK6" s="20" t="s">
        <v>8</v>
      </c>
      <c r="AL6" s="20" t="s">
        <v>76</v>
      </c>
      <c r="AM6" s="20" t="s">
        <v>11</v>
      </c>
    </row>
    <row r="7" ht="60.75" spans="2:39">
      <c r="B7" s="21" t="s">
        <v>77</v>
      </c>
      <c r="C7" s="22">
        <f>O37</f>
        <v>2767</v>
      </c>
      <c r="D7" s="23">
        <f>E37*100</f>
        <v>98.9157932779183</v>
      </c>
      <c r="E7" s="22">
        <f>Q37</f>
        <v>2752</v>
      </c>
      <c r="F7" s="23">
        <f>S37*100</f>
        <v>99.4578966389592</v>
      </c>
      <c r="G7" s="22">
        <f>O38</f>
        <v>23755</v>
      </c>
      <c r="H7" s="23">
        <f>E38*100</f>
        <v>94.4643233003578</v>
      </c>
      <c r="I7" s="22">
        <f>Q38</f>
        <v>19539</v>
      </c>
      <c r="J7" s="23">
        <f>S38*100</f>
        <v>82.2521574405388</v>
      </c>
      <c r="K7" s="22">
        <f t="shared" ref="K7:K29" si="0">C7+G7</f>
        <v>26522</v>
      </c>
      <c r="L7" s="23">
        <f t="shared" ref="L7:L29" si="1">S7/K7*100</f>
        <v>94.9287384058517</v>
      </c>
      <c r="M7" s="22">
        <f>E7+I7</f>
        <v>22291</v>
      </c>
      <c r="N7" s="23">
        <f t="shared" ref="N7:N29" si="2">M7/X7*100</f>
        <v>84.0472060930548</v>
      </c>
      <c r="P7">
        <f>K7-M7</f>
        <v>4231</v>
      </c>
      <c r="Q7" s="18">
        <f>R37</f>
        <v>2737</v>
      </c>
      <c r="R7" s="18">
        <f>R38</f>
        <v>22440</v>
      </c>
      <c r="S7">
        <f>Q7+R7</f>
        <v>25177</v>
      </c>
      <c r="T7">
        <f>K7-S7</f>
        <v>1345</v>
      </c>
      <c r="U7" s="19">
        <f>S7/K7</f>
        <v>0.949287384058517</v>
      </c>
      <c r="V7" s="18">
        <f>P37</f>
        <v>2767</v>
      </c>
      <c r="W7" s="18">
        <f>P38</f>
        <v>23755</v>
      </c>
      <c r="X7">
        <f t="shared" ref="X7:X29" si="3">V7+W7</f>
        <v>26522</v>
      </c>
      <c r="AA7" s="24" t="s">
        <v>12</v>
      </c>
      <c r="AB7" s="24">
        <f>C6</f>
        <v>2767</v>
      </c>
      <c r="AC7" s="25">
        <f t="shared" ref="AC7:AM7" si="4">D7</f>
        <v>98.9157932779183</v>
      </c>
      <c r="AD7" s="24">
        <f t="shared" si="4"/>
        <v>2752</v>
      </c>
      <c r="AE7" s="26">
        <f t="shared" si="4"/>
        <v>99.4578966389592</v>
      </c>
      <c r="AF7" s="27">
        <f t="shared" si="4"/>
        <v>23755</v>
      </c>
      <c r="AG7" s="26">
        <f t="shared" si="4"/>
        <v>94.4643233003578</v>
      </c>
      <c r="AH7" s="27">
        <f t="shared" si="4"/>
        <v>19539</v>
      </c>
      <c r="AI7" s="26">
        <f t="shared" si="4"/>
        <v>82.2521574405388</v>
      </c>
      <c r="AJ7" s="27">
        <f t="shared" si="4"/>
        <v>26522</v>
      </c>
      <c r="AK7" s="28">
        <f t="shared" si="4"/>
        <v>94.9287384058517</v>
      </c>
      <c r="AL7" s="24">
        <f t="shared" si="4"/>
        <v>22291</v>
      </c>
      <c r="AM7" s="28">
        <f t="shared" si="4"/>
        <v>84.0472060930548</v>
      </c>
    </row>
    <row r="8" ht="15.25" spans="2:39">
      <c r="B8" s="29" t="s">
        <v>13</v>
      </c>
      <c r="C8" s="16">
        <f>O39</f>
        <v>1069</v>
      </c>
      <c r="D8" s="17">
        <f>E39*100</f>
        <v>99.7193638914874</v>
      </c>
      <c r="E8" s="16">
        <f>Q39</f>
        <v>1067</v>
      </c>
      <c r="F8" s="17">
        <f>S39*100</f>
        <v>99.8129092609916</v>
      </c>
      <c r="G8" s="16">
        <f>O40</f>
        <v>10134</v>
      </c>
      <c r="H8" s="17">
        <f>E40*100</f>
        <v>91.99723702388</v>
      </c>
      <c r="I8" s="16">
        <f>Q40</f>
        <v>6669</v>
      </c>
      <c r="J8" s="17">
        <f>S40*100</f>
        <v>65.8081705150977</v>
      </c>
      <c r="K8" s="16">
        <f t="shared" si="0"/>
        <v>11203</v>
      </c>
      <c r="L8" s="17">
        <f t="shared" si="1"/>
        <v>92.7340890832813</v>
      </c>
      <c r="M8" s="16">
        <f>E8+I8</f>
        <v>7736</v>
      </c>
      <c r="N8" s="17">
        <f t="shared" si="2"/>
        <v>69.0529322502901</v>
      </c>
      <c r="P8">
        <f>K8-M8</f>
        <v>3467</v>
      </c>
      <c r="Q8" s="18">
        <f>R39</f>
        <v>1066</v>
      </c>
      <c r="R8" s="18">
        <f>R40</f>
        <v>9323</v>
      </c>
      <c r="S8">
        <f t="shared" ref="S7:S29" si="5">Q8+R8</f>
        <v>10389</v>
      </c>
      <c r="T8">
        <f>K8-S8</f>
        <v>814</v>
      </c>
      <c r="U8" s="19">
        <f>S8/K8</f>
        <v>0.927340890832813</v>
      </c>
      <c r="V8" s="18">
        <f>P39</f>
        <v>1069</v>
      </c>
      <c r="W8" s="18">
        <f>P40</f>
        <v>10134</v>
      </c>
      <c r="X8">
        <f t="shared" si="3"/>
        <v>11203</v>
      </c>
      <c r="AA8" s="30" t="s">
        <v>13</v>
      </c>
      <c r="AB8" s="31">
        <f t="shared" ref="AB8:AM8" si="6">C8</f>
        <v>1069</v>
      </c>
      <c r="AC8" s="32">
        <f t="shared" si="6"/>
        <v>99.7193638914874</v>
      </c>
      <c r="AD8" s="31">
        <f t="shared" si="6"/>
        <v>1067</v>
      </c>
      <c r="AE8" s="32">
        <f t="shared" si="6"/>
        <v>99.8129092609916</v>
      </c>
      <c r="AF8" s="31">
        <f t="shared" si="6"/>
        <v>10134</v>
      </c>
      <c r="AG8" s="32">
        <f t="shared" si="6"/>
        <v>91.99723702388</v>
      </c>
      <c r="AH8" s="31">
        <f t="shared" si="6"/>
        <v>6669</v>
      </c>
      <c r="AI8" s="32">
        <f t="shared" si="6"/>
        <v>65.8081705150977</v>
      </c>
      <c r="AJ8" s="31">
        <f t="shared" si="6"/>
        <v>11203</v>
      </c>
      <c r="AK8" s="32">
        <f t="shared" si="6"/>
        <v>92.7340890832813</v>
      </c>
      <c r="AL8" s="31">
        <f t="shared" si="6"/>
        <v>7736</v>
      </c>
      <c r="AM8" s="32">
        <f t="shared" si="6"/>
        <v>69.0529322502901</v>
      </c>
    </row>
    <row r="9" ht="15.25" spans="2:39">
      <c r="B9" s="33" t="s">
        <v>14</v>
      </c>
      <c r="C9" s="22">
        <f>O41</f>
        <v>529</v>
      </c>
      <c r="D9" s="34">
        <f>E41*100</f>
        <v>99.8109640831758</v>
      </c>
      <c r="E9" s="22">
        <f>Q41</f>
        <v>528</v>
      </c>
      <c r="F9" s="34">
        <f>S41*100</f>
        <v>99.8109640831758</v>
      </c>
      <c r="G9" s="22">
        <f>O42</f>
        <v>3979</v>
      </c>
      <c r="H9" s="34">
        <f>E42*100</f>
        <v>98.9193264639357</v>
      </c>
      <c r="I9" s="22">
        <f>Q42</f>
        <v>3906</v>
      </c>
      <c r="J9" s="34">
        <f>S42*100</f>
        <v>98.1653681829605</v>
      </c>
      <c r="K9" s="22">
        <f t="shared" si="0"/>
        <v>4508</v>
      </c>
      <c r="L9" s="34">
        <f t="shared" si="1"/>
        <v>99.0239574090506</v>
      </c>
      <c r="M9" s="22">
        <f t="shared" ref="M9:M29" si="7">E9+I9</f>
        <v>4434</v>
      </c>
      <c r="N9" s="34">
        <f t="shared" si="2"/>
        <v>98.3584738243123</v>
      </c>
      <c r="P9">
        <f t="shared" ref="P9:P29" si="8">K9-M9</f>
        <v>74</v>
      </c>
      <c r="Q9" s="18">
        <f>R41</f>
        <v>528</v>
      </c>
      <c r="R9" s="18">
        <f>R42</f>
        <v>3936</v>
      </c>
      <c r="S9">
        <f t="shared" si="5"/>
        <v>4464</v>
      </c>
      <c r="T9">
        <f>K9-S9</f>
        <v>44</v>
      </c>
      <c r="U9" s="19">
        <f t="shared" ref="U9:U29" si="9">S9/K9</f>
        <v>0.990239574090506</v>
      </c>
      <c r="V9" s="18">
        <f>P41</f>
        <v>529</v>
      </c>
      <c r="W9" s="18">
        <f>P42</f>
        <v>3979</v>
      </c>
      <c r="X9">
        <f t="shared" si="3"/>
        <v>4508</v>
      </c>
      <c r="AA9" s="30" t="s">
        <v>14</v>
      </c>
      <c r="AB9" s="31">
        <f t="shared" ref="AB9:AM9" si="10">C9</f>
        <v>529</v>
      </c>
      <c r="AC9" s="32">
        <f t="shared" si="10"/>
        <v>99.8109640831758</v>
      </c>
      <c r="AD9" s="31">
        <f t="shared" si="10"/>
        <v>528</v>
      </c>
      <c r="AE9" s="32">
        <f t="shared" si="10"/>
        <v>99.8109640831758</v>
      </c>
      <c r="AF9" s="31">
        <f t="shared" si="10"/>
        <v>3979</v>
      </c>
      <c r="AG9" s="32">
        <f t="shared" si="10"/>
        <v>98.9193264639357</v>
      </c>
      <c r="AH9" s="31">
        <f t="shared" si="10"/>
        <v>3906</v>
      </c>
      <c r="AI9" s="32">
        <f t="shared" si="10"/>
        <v>98.1653681829605</v>
      </c>
      <c r="AJ9" s="31">
        <f t="shared" si="10"/>
        <v>4508</v>
      </c>
      <c r="AK9" s="32">
        <f t="shared" si="10"/>
        <v>99.0239574090506</v>
      </c>
      <c r="AL9" s="31">
        <f t="shared" si="10"/>
        <v>4434</v>
      </c>
      <c r="AM9" s="32">
        <f t="shared" si="10"/>
        <v>98.3584738243123</v>
      </c>
    </row>
    <row r="10" ht="15.25" spans="2:39">
      <c r="B10" s="29" t="s">
        <v>15</v>
      </c>
      <c r="C10" s="16">
        <f>O43</f>
        <v>327</v>
      </c>
      <c r="D10" s="17">
        <f>E43*100</f>
        <v>99.6941896024465</v>
      </c>
      <c r="E10" s="16">
        <f>Q43</f>
        <v>326</v>
      </c>
      <c r="F10" s="17">
        <f>S43*100</f>
        <v>99.6941896024465</v>
      </c>
      <c r="G10" s="16">
        <f>O44</f>
        <v>2952</v>
      </c>
      <c r="H10" s="17">
        <f>E44*100</f>
        <v>98.6449864498645</v>
      </c>
      <c r="I10" s="16">
        <f>Q44</f>
        <v>2874</v>
      </c>
      <c r="J10" s="17">
        <f>S44*100</f>
        <v>97.3577235772358</v>
      </c>
      <c r="K10" s="16">
        <f t="shared" si="0"/>
        <v>3279</v>
      </c>
      <c r="L10" s="17">
        <f t="shared" si="1"/>
        <v>98.7496187862153</v>
      </c>
      <c r="M10" s="16">
        <f t="shared" si="7"/>
        <v>3200</v>
      </c>
      <c r="N10" s="17">
        <f t="shared" si="2"/>
        <v>97.5907288807563</v>
      </c>
      <c r="P10">
        <f t="shared" si="8"/>
        <v>79</v>
      </c>
      <c r="Q10" s="18">
        <f>R43</f>
        <v>326</v>
      </c>
      <c r="R10" s="18">
        <f>R44</f>
        <v>2912</v>
      </c>
      <c r="S10">
        <f t="shared" si="5"/>
        <v>3238</v>
      </c>
      <c r="T10">
        <f t="shared" ref="T10:T29" si="11">K10-S10</f>
        <v>41</v>
      </c>
      <c r="U10" s="19">
        <f t="shared" si="9"/>
        <v>0.987496187862153</v>
      </c>
      <c r="V10" s="18">
        <f>P43</f>
        <v>327</v>
      </c>
      <c r="W10" s="18">
        <f>P44</f>
        <v>2952</v>
      </c>
      <c r="X10">
        <f t="shared" si="3"/>
        <v>3279</v>
      </c>
      <c r="AA10" s="30" t="s">
        <v>15</v>
      </c>
      <c r="AB10" s="31">
        <f t="shared" ref="AB10:AM10" si="12">C10</f>
        <v>327</v>
      </c>
      <c r="AC10" s="32">
        <f t="shared" si="12"/>
        <v>99.6941896024465</v>
      </c>
      <c r="AD10" s="31">
        <f t="shared" si="12"/>
        <v>326</v>
      </c>
      <c r="AE10" s="32">
        <f t="shared" si="12"/>
        <v>99.6941896024465</v>
      </c>
      <c r="AF10" s="31">
        <f t="shared" si="12"/>
        <v>2952</v>
      </c>
      <c r="AG10" s="32">
        <f t="shared" si="12"/>
        <v>98.6449864498645</v>
      </c>
      <c r="AH10" s="31">
        <f t="shared" si="12"/>
        <v>2874</v>
      </c>
      <c r="AI10" s="32">
        <f t="shared" si="12"/>
        <v>97.3577235772358</v>
      </c>
      <c r="AJ10" s="31">
        <f t="shared" si="12"/>
        <v>3279</v>
      </c>
      <c r="AK10" s="32">
        <f t="shared" si="12"/>
        <v>98.7496187862153</v>
      </c>
      <c r="AL10" s="31">
        <f t="shared" si="12"/>
        <v>3200</v>
      </c>
      <c r="AM10" s="32">
        <f t="shared" si="12"/>
        <v>97.5907288807563</v>
      </c>
    </row>
    <row r="11" ht="15.25" spans="2:39">
      <c r="B11" s="33" t="s">
        <v>16</v>
      </c>
      <c r="C11" s="22">
        <f>O45</f>
        <v>226</v>
      </c>
      <c r="D11" s="34">
        <f>E45*100</f>
        <v>96.9026548672566</v>
      </c>
      <c r="E11" s="22">
        <f>Q45</f>
        <v>225</v>
      </c>
      <c r="F11" s="34">
        <f>S45*100</f>
        <v>99.5575221238938</v>
      </c>
      <c r="G11" s="22">
        <f>O46</f>
        <v>1829</v>
      </c>
      <c r="H11" s="34">
        <f>E46*100</f>
        <v>90.5959540732641</v>
      </c>
      <c r="I11" s="22">
        <f>Q46</f>
        <v>1704</v>
      </c>
      <c r="J11" s="34">
        <f>S46*100</f>
        <v>93.1656642974303</v>
      </c>
      <c r="K11" s="22">
        <f t="shared" si="0"/>
        <v>2055</v>
      </c>
      <c r="L11" s="34">
        <f t="shared" si="1"/>
        <v>91.2895377128954</v>
      </c>
      <c r="M11" s="22">
        <f t="shared" si="7"/>
        <v>1929</v>
      </c>
      <c r="N11" s="34">
        <f t="shared" si="2"/>
        <v>93.8686131386861</v>
      </c>
      <c r="P11">
        <f t="shared" si="8"/>
        <v>126</v>
      </c>
      <c r="Q11" s="18">
        <f>R45</f>
        <v>219</v>
      </c>
      <c r="R11" s="18">
        <f>R46</f>
        <v>1657</v>
      </c>
      <c r="S11">
        <f t="shared" si="5"/>
        <v>1876</v>
      </c>
      <c r="T11">
        <f t="shared" si="11"/>
        <v>179</v>
      </c>
      <c r="U11" s="19">
        <f t="shared" si="9"/>
        <v>0.912895377128954</v>
      </c>
      <c r="V11" s="18">
        <f>P45</f>
        <v>226</v>
      </c>
      <c r="W11" s="18">
        <f>P46</f>
        <v>1829</v>
      </c>
      <c r="X11">
        <f t="shared" si="3"/>
        <v>2055</v>
      </c>
      <c r="AA11" s="30" t="s">
        <v>16</v>
      </c>
      <c r="AB11" s="31">
        <f t="shared" ref="AB11:AM11" si="13">C11</f>
        <v>226</v>
      </c>
      <c r="AC11" s="32">
        <f t="shared" si="13"/>
        <v>96.9026548672566</v>
      </c>
      <c r="AD11" s="31">
        <f t="shared" si="13"/>
        <v>225</v>
      </c>
      <c r="AE11" s="32">
        <f t="shared" si="13"/>
        <v>99.5575221238938</v>
      </c>
      <c r="AF11" s="31">
        <f t="shared" si="13"/>
        <v>1829</v>
      </c>
      <c r="AG11" s="32">
        <f t="shared" si="13"/>
        <v>90.5959540732641</v>
      </c>
      <c r="AH11" s="31">
        <f t="shared" si="13"/>
        <v>1704</v>
      </c>
      <c r="AI11" s="32">
        <f t="shared" si="13"/>
        <v>93.1656642974303</v>
      </c>
      <c r="AJ11" s="31">
        <f t="shared" si="13"/>
        <v>2055</v>
      </c>
      <c r="AK11" s="32">
        <f t="shared" si="13"/>
        <v>91.2895377128954</v>
      </c>
      <c r="AL11" s="31">
        <f t="shared" si="13"/>
        <v>1929</v>
      </c>
      <c r="AM11" s="32">
        <f t="shared" si="13"/>
        <v>93.8686131386861</v>
      </c>
    </row>
    <row r="12" ht="15.25" spans="2:39">
      <c r="B12" s="29" t="s">
        <v>17</v>
      </c>
      <c r="C12" s="16">
        <f>O47</f>
        <v>85</v>
      </c>
      <c r="D12" s="17">
        <f>E47*100</f>
        <v>98.8235294117647</v>
      </c>
      <c r="E12" s="16">
        <f>Q47</f>
        <v>85</v>
      </c>
      <c r="F12" s="17">
        <f>S47*100</f>
        <v>100</v>
      </c>
      <c r="G12" s="16">
        <f>O48</f>
        <v>769</v>
      </c>
      <c r="H12" s="17">
        <f>E48*100</f>
        <v>90.8972691807542</v>
      </c>
      <c r="I12" s="16">
        <f>Q48</f>
        <v>659</v>
      </c>
      <c r="J12" s="17">
        <f>S48*100</f>
        <v>85.6957087126138</v>
      </c>
      <c r="K12" s="16">
        <f t="shared" si="0"/>
        <v>854</v>
      </c>
      <c r="L12" s="17">
        <f t="shared" si="1"/>
        <v>91.6861826697892</v>
      </c>
      <c r="M12" s="16">
        <f t="shared" si="7"/>
        <v>744</v>
      </c>
      <c r="N12" s="17">
        <f t="shared" si="2"/>
        <v>87.1194379391101</v>
      </c>
      <c r="P12">
        <f t="shared" si="8"/>
        <v>110</v>
      </c>
      <c r="Q12" s="18">
        <f>R47</f>
        <v>84</v>
      </c>
      <c r="R12" s="18">
        <f>R48</f>
        <v>699</v>
      </c>
      <c r="S12">
        <f t="shared" si="5"/>
        <v>783</v>
      </c>
      <c r="T12">
        <f t="shared" si="11"/>
        <v>71</v>
      </c>
      <c r="U12" s="19">
        <f t="shared" si="9"/>
        <v>0.916861826697892</v>
      </c>
      <c r="V12" s="18">
        <f>P47</f>
        <v>85</v>
      </c>
      <c r="W12" s="18">
        <f>P48</f>
        <v>769</v>
      </c>
      <c r="X12">
        <f t="shared" si="3"/>
        <v>854</v>
      </c>
      <c r="AA12" s="35" t="s">
        <v>17</v>
      </c>
      <c r="AB12" s="36">
        <f t="shared" ref="AB12:AM12" si="14">C12</f>
        <v>85</v>
      </c>
      <c r="AC12" s="37">
        <f t="shared" si="14"/>
        <v>98.8235294117647</v>
      </c>
      <c r="AD12" s="36">
        <f t="shared" si="14"/>
        <v>85</v>
      </c>
      <c r="AE12" s="37">
        <f t="shared" si="14"/>
        <v>100</v>
      </c>
      <c r="AF12" s="36">
        <f t="shared" si="14"/>
        <v>769</v>
      </c>
      <c r="AG12" s="37">
        <f t="shared" si="14"/>
        <v>90.8972691807542</v>
      </c>
      <c r="AH12" s="36">
        <f t="shared" si="14"/>
        <v>659</v>
      </c>
      <c r="AI12" s="37">
        <f t="shared" si="14"/>
        <v>85.6957087126138</v>
      </c>
      <c r="AJ12" s="36">
        <f t="shared" si="14"/>
        <v>854</v>
      </c>
      <c r="AK12" s="37">
        <f t="shared" si="14"/>
        <v>91.6861826697892</v>
      </c>
      <c r="AL12" s="36">
        <f t="shared" si="14"/>
        <v>744</v>
      </c>
      <c r="AM12" s="37">
        <f t="shared" si="14"/>
        <v>87.1194379391101</v>
      </c>
    </row>
    <row r="13" ht="15.25" spans="2:39">
      <c r="B13" s="33" t="s">
        <v>18</v>
      </c>
      <c r="C13" s="22">
        <f>O49</f>
        <v>65</v>
      </c>
      <c r="D13" s="34">
        <f>E49*100</f>
        <v>84.6153846153846</v>
      </c>
      <c r="E13" s="22">
        <f>Q49</f>
        <v>65</v>
      </c>
      <c r="F13" s="34">
        <f>S49*100</f>
        <v>100</v>
      </c>
      <c r="G13" s="22">
        <f>O50</f>
        <v>966</v>
      </c>
      <c r="H13" s="34">
        <f>E50*100</f>
        <v>96.0662525879917</v>
      </c>
      <c r="I13" s="22">
        <f>Q50</f>
        <v>947</v>
      </c>
      <c r="J13" s="34">
        <f>S50*100</f>
        <v>98.0331262939959</v>
      </c>
      <c r="K13" s="22">
        <f t="shared" si="0"/>
        <v>1031</v>
      </c>
      <c r="L13" s="34">
        <f t="shared" si="1"/>
        <v>95.3443258971872</v>
      </c>
      <c r="M13" s="22">
        <f t="shared" si="7"/>
        <v>1012</v>
      </c>
      <c r="N13" s="34">
        <f t="shared" si="2"/>
        <v>98.1571290009699</v>
      </c>
      <c r="P13">
        <f t="shared" si="8"/>
        <v>19</v>
      </c>
      <c r="Q13" s="18">
        <f>R49</f>
        <v>55</v>
      </c>
      <c r="R13" s="18">
        <f>R50</f>
        <v>928</v>
      </c>
      <c r="S13">
        <f t="shared" si="5"/>
        <v>983</v>
      </c>
      <c r="T13">
        <f t="shared" si="11"/>
        <v>48</v>
      </c>
      <c r="U13" s="19">
        <f t="shared" si="9"/>
        <v>0.953443258971872</v>
      </c>
      <c r="V13" s="18">
        <f>P49</f>
        <v>65</v>
      </c>
      <c r="W13" s="18">
        <f>P50</f>
        <v>966</v>
      </c>
      <c r="X13">
        <f t="shared" si="3"/>
        <v>1031</v>
      </c>
      <c r="AA13" s="35" t="s">
        <v>18</v>
      </c>
      <c r="AB13" s="36">
        <f t="shared" ref="AB13:AM13" si="15">C13</f>
        <v>65</v>
      </c>
      <c r="AC13" s="37">
        <f t="shared" si="15"/>
        <v>84.6153846153846</v>
      </c>
      <c r="AD13" s="36">
        <f t="shared" si="15"/>
        <v>65</v>
      </c>
      <c r="AE13" s="37">
        <f t="shared" si="15"/>
        <v>100</v>
      </c>
      <c r="AF13" s="36">
        <f t="shared" si="15"/>
        <v>966</v>
      </c>
      <c r="AG13" s="37">
        <f t="shared" si="15"/>
        <v>96.0662525879917</v>
      </c>
      <c r="AH13" s="36">
        <f t="shared" si="15"/>
        <v>947</v>
      </c>
      <c r="AI13" s="37">
        <f t="shared" si="15"/>
        <v>98.0331262939959</v>
      </c>
      <c r="AJ13" s="36">
        <f t="shared" si="15"/>
        <v>1031</v>
      </c>
      <c r="AK13" s="37">
        <f t="shared" si="15"/>
        <v>95.3443258971872</v>
      </c>
      <c r="AL13" s="36">
        <f t="shared" si="15"/>
        <v>1012</v>
      </c>
      <c r="AM13" s="37">
        <f t="shared" si="15"/>
        <v>98.1571290009699</v>
      </c>
    </row>
    <row r="14" ht="15.25" spans="2:39">
      <c r="B14" s="29" t="s">
        <v>19</v>
      </c>
      <c r="C14" s="16">
        <f>O51</f>
        <v>79</v>
      </c>
      <c r="D14" s="17">
        <f>E51*100</f>
        <v>98.7341772151899</v>
      </c>
      <c r="E14" s="16">
        <f>Q51</f>
        <v>78</v>
      </c>
      <c r="F14" s="17">
        <f>S51*100</f>
        <v>98.7341772151899</v>
      </c>
      <c r="G14" s="16">
        <f>O52</f>
        <v>630</v>
      </c>
      <c r="H14" s="17">
        <f>E52*100</f>
        <v>97.6190476190476</v>
      </c>
      <c r="I14" s="16">
        <f>Q52</f>
        <v>547</v>
      </c>
      <c r="J14" s="17">
        <f>S52*100</f>
        <v>86.8253968253968</v>
      </c>
      <c r="K14" s="16">
        <f t="shared" si="0"/>
        <v>709</v>
      </c>
      <c r="L14" s="17">
        <f t="shared" si="1"/>
        <v>97.7433004231312</v>
      </c>
      <c r="M14" s="16">
        <f t="shared" si="7"/>
        <v>625</v>
      </c>
      <c r="N14" s="17">
        <f t="shared" si="2"/>
        <v>88.1523272214386</v>
      </c>
      <c r="P14">
        <f t="shared" si="8"/>
        <v>84</v>
      </c>
      <c r="Q14" s="18">
        <f>R51</f>
        <v>78</v>
      </c>
      <c r="R14" s="18">
        <f>R52</f>
        <v>615</v>
      </c>
      <c r="S14">
        <f t="shared" si="5"/>
        <v>693</v>
      </c>
      <c r="T14">
        <f t="shared" si="11"/>
        <v>16</v>
      </c>
      <c r="U14" s="19">
        <f t="shared" si="9"/>
        <v>0.977433004231312</v>
      </c>
      <c r="V14" s="18">
        <f>P51</f>
        <v>79</v>
      </c>
      <c r="W14" s="18">
        <f>P52</f>
        <v>630</v>
      </c>
      <c r="X14">
        <f t="shared" si="3"/>
        <v>709</v>
      </c>
      <c r="AA14" s="35" t="s">
        <v>19</v>
      </c>
      <c r="AB14" s="36">
        <f t="shared" ref="AB14:AM14" si="16">C14</f>
        <v>79</v>
      </c>
      <c r="AC14" s="37">
        <f t="shared" si="16"/>
        <v>98.7341772151899</v>
      </c>
      <c r="AD14" s="36">
        <f t="shared" si="16"/>
        <v>78</v>
      </c>
      <c r="AE14" s="37">
        <f t="shared" si="16"/>
        <v>98.7341772151899</v>
      </c>
      <c r="AF14" s="36">
        <f t="shared" si="16"/>
        <v>630</v>
      </c>
      <c r="AG14" s="37">
        <f t="shared" si="16"/>
        <v>97.6190476190476</v>
      </c>
      <c r="AH14" s="36">
        <f t="shared" si="16"/>
        <v>547</v>
      </c>
      <c r="AI14" s="37">
        <f t="shared" si="16"/>
        <v>86.8253968253968</v>
      </c>
      <c r="AJ14" s="36">
        <f t="shared" si="16"/>
        <v>709</v>
      </c>
      <c r="AK14" s="37">
        <f t="shared" si="16"/>
        <v>97.7433004231312</v>
      </c>
      <c r="AL14" s="36">
        <f t="shared" si="16"/>
        <v>625</v>
      </c>
      <c r="AM14" s="37">
        <f t="shared" si="16"/>
        <v>88.1523272214386</v>
      </c>
    </row>
    <row r="15" ht="15.25" spans="2:39">
      <c r="B15" s="33" t="s">
        <v>20</v>
      </c>
      <c r="C15" s="22">
        <f>O53</f>
        <v>144</v>
      </c>
      <c r="D15" s="34">
        <f>E53*100</f>
        <v>100</v>
      </c>
      <c r="E15" s="22">
        <f>Q53</f>
        <v>142</v>
      </c>
      <c r="F15" s="34">
        <f>S53*100</f>
        <v>98.6111111111111</v>
      </c>
      <c r="G15" s="22">
        <f>O54</f>
        <v>887</v>
      </c>
      <c r="H15" s="34">
        <f>E54*100</f>
        <v>97.8579481397971</v>
      </c>
      <c r="I15" s="22">
        <f>Q54</f>
        <v>833</v>
      </c>
      <c r="J15" s="34">
        <f>S54*100</f>
        <v>93.9120631341601</v>
      </c>
      <c r="K15" s="22">
        <f t="shared" si="0"/>
        <v>1031</v>
      </c>
      <c r="L15" s="34">
        <f t="shared" si="1"/>
        <v>98.1571290009699</v>
      </c>
      <c r="M15" s="22">
        <f t="shared" si="7"/>
        <v>975</v>
      </c>
      <c r="N15" s="34">
        <f t="shared" si="2"/>
        <v>94.5683802133851</v>
      </c>
      <c r="P15">
        <f t="shared" si="8"/>
        <v>56</v>
      </c>
      <c r="Q15" s="18">
        <f>R53</f>
        <v>144</v>
      </c>
      <c r="R15" s="18">
        <f>R54</f>
        <v>868</v>
      </c>
      <c r="S15">
        <f t="shared" si="5"/>
        <v>1012</v>
      </c>
      <c r="T15">
        <f t="shared" si="11"/>
        <v>19</v>
      </c>
      <c r="U15" s="19">
        <f t="shared" si="9"/>
        <v>0.981571290009699</v>
      </c>
      <c r="V15" s="18">
        <f>P53</f>
        <v>144</v>
      </c>
      <c r="W15" s="18">
        <f>P54</f>
        <v>887</v>
      </c>
      <c r="X15">
        <f t="shared" si="3"/>
        <v>1031</v>
      </c>
      <c r="AA15" s="35" t="s">
        <v>20</v>
      </c>
      <c r="AB15" s="36">
        <f t="shared" ref="AB15:AM15" si="17">C15</f>
        <v>144</v>
      </c>
      <c r="AC15" s="37">
        <f t="shared" si="17"/>
        <v>100</v>
      </c>
      <c r="AD15" s="36">
        <f t="shared" si="17"/>
        <v>142</v>
      </c>
      <c r="AE15" s="37">
        <f t="shared" si="17"/>
        <v>98.6111111111111</v>
      </c>
      <c r="AF15" s="36">
        <f t="shared" si="17"/>
        <v>887</v>
      </c>
      <c r="AG15" s="37">
        <f t="shared" si="17"/>
        <v>97.8579481397971</v>
      </c>
      <c r="AH15" s="36">
        <f t="shared" si="17"/>
        <v>833</v>
      </c>
      <c r="AI15" s="37">
        <f t="shared" si="17"/>
        <v>93.9120631341601</v>
      </c>
      <c r="AJ15" s="36">
        <f t="shared" si="17"/>
        <v>1031</v>
      </c>
      <c r="AK15" s="37">
        <f t="shared" si="17"/>
        <v>98.1571290009699</v>
      </c>
      <c r="AL15" s="36">
        <f t="shared" si="17"/>
        <v>975</v>
      </c>
      <c r="AM15" s="37">
        <f t="shared" si="17"/>
        <v>94.5683802133851</v>
      </c>
    </row>
    <row r="16" ht="15.25" spans="2:39">
      <c r="B16" s="29" t="s">
        <v>21</v>
      </c>
      <c r="C16" s="16">
        <f>O55</f>
        <v>29</v>
      </c>
      <c r="D16" s="17">
        <f>E55*100</f>
        <v>100</v>
      </c>
      <c r="E16" s="16">
        <f>Q55</f>
        <v>27</v>
      </c>
      <c r="F16" s="17">
        <f>S55*100</f>
        <v>93.1034482758621</v>
      </c>
      <c r="G16" s="16">
        <f>O56</f>
        <v>251</v>
      </c>
      <c r="H16" s="17">
        <f>E56*100</f>
        <v>97.2111553784861</v>
      </c>
      <c r="I16" s="16">
        <f>Q56</f>
        <v>200</v>
      </c>
      <c r="J16" s="17">
        <f>S56*100</f>
        <v>79.6812749003984</v>
      </c>
      <c r="K16" s="16">
        <f t="shared" si="0"/>
        <v>280</v>
      </c>
      <c r="L16" s="17">
        <f t="shared" si="1"/>
        <v>97.5</v>
      </c>
      <c r="M16" s="16">
        <f t="shared" si="7"/>
        <v>227</v>
      </c>
      <c r="N16" s="17">
        <f t="shared" si="2"/>
        <v>81.0714285714286</v>
      </c>
      <c r="P16">
        <f t="shared" si="8"/>
        <v>53</v>
      </c>
      <c r="Q16" s="18">
        <f>R55</f>
        <v>29</v>
      </c>
      <c r="R16" s="18">
        <f>R56</f>
        <v>244</v>
      </c>
      <c r="S16">
        <f t="shared" si="5"/>
        <v>273</v>
      </c>
      <c r="T16">
        <f t="shared" si="11"/>
        <v>7</v>
      </c>
      <c r="U16" s="19">
        <f t="shared" si="9"/>
        <v>0.975</v>
      </c>
      <c r="V16" s="18">
        <f>P55</f>
        <v>29</v>
      </c>
      <c r="W16" s="18">
        <f>P56</f>
        <v>251</v>
      </c>
      <c r="X16">
        <f t="shared" si="3"/>
        <v>280</v>
      </c>
      <c r="AA16" s="30" t="s">
        <v>21</v>
      </c>
      <c r="AB16" s="31">
        <f t="shared" ref="AB16:AM16" si="18">C16</f>
        <v>29</v>
      </c>
      <c r="AC16" s="32">
        <f t="shared" si="18"/>
        <v>100</v>
      </c>
      <c r="AD16" s="31">
        <f t="shared" si="18"/>
        <v>27</v>
      </c>
      <c r="AE16" s="32">
        <f t="shared" si="18"/>
        <v>93.1034482758621</v>
      </c>
      <c r="AF16" s="31">
        <f t="shared" si="18"/>
        <v>251</v>
      </c>
      <c r="AG16" s="32">
        <f t="shared" si="18"/>
        <v>97.2111553784861</v>
      </c>
      <c r="AH16" s="31">
        <f t="shared" si="18"/>
        <v>200</v>
      </c>
      <c r="AI16" s="32">
        <f t="shared" si="18"/>
        <v>79.6812749003984</v>
      </c>
      <c r="AJ16" s="31">
        <f t="shared" si="18"/>
        <v>280</v>
      </c>
      <c r="AK16" s="32">
        <f t="shared" si="18"/>
        <v>97.5</v>
      </c>
      <c r="AL16" s="31">
        <f t="shared" si="18"/>
        <v>227</v>
      </c>
      <c r="AM16" s="32">
        <f t="shared" si="18"/>
        <v>81.0714285714286</v>
      </c>
    </row>
    <row r="17" ht="15.25" spans="2:39">
      <c r="B17" s="33" t="s">
        <v>22</v>
      </c>
      <c r="C17" s="22">
        <f>O57</f>
        <v>13</v>
      </c>
      <c r="D17" s="34">
        <f>E57*100</f>
        <v>100</v>
      </c>
      <c r="E17" s="22">
        <f>Q57</f>
        <v>13</v>
      </c>
      <c r="F17" s="34">
        <f>S57*100</f>
        <v>100</v>
      </c>
      <c r="G17" s="22">
        <f>O58</f>
        <v>125</v>
      </c>
      <c r="H17" s="34">
        <f>E58*100</f>
        <v>69.6</v>
      </c>
      <c r="I17" s="22">
        <f>Q58</f>
        <v>117</v>
      </c>
      <c r="J17" s="34">
        <f>S58*100</f>
        <v>93.6</v>
      </c>
      <c r="K17" s="22">
        <f t="shared" si="0"/>
        <v>138</v>
      </c>
      <c r="L17" s="34">
        <f t="shared" si="1"/>
        <v>72.463768115942</v>
      </c>
      <c r="M17" s="22">
        <f t="shared" si="7"/>
        <v>130</v>
      </c>
      <c r="N17" s="34">
        <f t="shared" si="2"/>
        <v>94.2028985507246</v>
      </c>
      <c r="P17">
        <f t="shared" si="8"/>
        <v>8</v>
      </c>
      <c r="Q17" s="18">
        <f>R57</f>
        <v>13</v>
      </c>
      <c r="R17" s="18">
        <f>R58</f>
        <v>87</v>
      </c>
      <c r="S17">
        <f t="shared" si="5"/>
        <v>100</v>
      </c>
      <c r="T17">
        <f t="shared" si="11"/>
        <v>38</v>
      </c>
      <c r="U17" s="19">
        <f t="shared" si="9"/>
        <v>0.72463768115942</v>
      </c>
      <c r="V17" s="18">
        <f>P57</f>
        <v>13</v>
      </c>
      <c r="W17" s="18">
        <f>P58</f>
        <v>125</v>
      </c>
      <c r="X17">
        <f t="shared" si="3"/>
        <v>138</v>
      </c>
      <c r="AA17" s="30" t="s">
        <v>22</v>
      </c>
      <c r="AB17" s="31">
        <f t="shared" ref="AB17:AM17" si="19">C17</f>
        <v>13</v>
      </c>
      <c r="AC17" s="32">
        <f t="shared" si="19"/>
        <v>100</v>
      </c>
      <c r="AD17" s="31">
        <f t="shared" si="19"/>
        <v>13</v>
      </c>
      <c r="AE17" s="32">
        <f t="shared" si="19"/>
        <v>100</v>
      </c>
      <c r="AF17" s="31">
        <f t="shared" si="19"/>
        <v>125</v>
      </c>
      <c r="AG17" s="32">
        <f t="shared" si="19"/>
        <v>69.6</v>
      </c>
      <c r="AH17" s="31">
        <f t="shared" si="19"/>
        <v>117</v>
      </c>
      <c r="AI17" s="32">
        <f t="shared" si="19"/>
        <v>93.6</v>
      </c>
      <c r="AJ17" s="31">
        <f t="shared" si="19"/>
        <v>138</v>
      </c>
      <c r="AK17" s="32">
        <f t="shared" si="19"/>
        <v>72.463768115942</v>
      </c>
      <c r="AL17" s="31">
        <f t="shared" si="19"/>
        <v>130</v>
      </c>
      <c r="AM17" s="32">
        <f t="shared" si="19"/>
        <v>94.2028985507246</v>
      </c>
    </row>
    <row r="18" ht="15.25" spans="2:39">
      <c r="B18" s="29" t="s">
        <v>23</v>
      </c>
      <c r="C18" s="16">
        <f>O59</f>
        <v>13</v>
      </c>
      <c r="D18" s="17">
        <f>E59*100</f>
        <v>100</v>
      </c>
      <c r="E18" s="16">
        <f>Q59</f>
        <v>13</v>
      </c>
      <c r="F18" s="17">
        <f>S59*100</f>
        <v>100</v>
      </c>
      <c r="G18" s="16">
        <f>O60</f>
        <v>134</v>
      </c>
      <c r="H18" s="17">
        <f>E60*100</f>
        <v>96.2686567164179</v>
      </c>
      <c r="I18" s="16">
        <f>Q60</f>
        <v>114</v>
      </c>
      <c r="J18" s="17">
        <f>S60*100</f>
        <v>85.0746268656716</v>
      </c>
      <c r="K18" s="16">
        <f t="shared" si="0"/>
        <v>147</v>
      </c>
      <c r="L18" s="17">
        <f t="shared" si="1"/>
        <v>96.5986394557823</v>
      </c>
      <c r="M18" s="16">
        <f t="shared" si="7"/>
        <v>127</v>
      </c>
      <c r="N18" s="17">
        <f t="shared" si="2"/>
        <v>86.3945578231292</v>
      </c>
      <c r="P18">
        <f t="shared" si="8"/>
        <v>20</v>
      </c>
      <c r="Q18" s="18">
        <f>R59</f>
        <v>13</v>
      </c>
      <c r="R18" s="18">
        <f>R60</f>
        <v>129</v>
      </c>
      <c r="S18">
        <f t="shared" si="5"/>
        <v>142</v>
      </c>
      <c r="T18">
        <f t="shared" si="11"/>
        <v>5</v>
      </c>
      <c r="U18" s="19">
        <f t="shared" si="9"/>
        <v>0.965986394557823</v>
      </c>
      <c r="V18" s="18">
        <f>P59</f>
        <v>13</v>
      </c>
      <c r="W18" s="18">
        <f>P60</f>
        <v>134</v>
      </c>
      <c r="X18">
        <f t="shared" si="3"/>
        <v>147</v>
      </c>
      <c r="AA18" s="30" t="s">
        <v>23</v>
      </c>
      <c r="AB18" s="31">
        <f t="shared" ref="AB18:AM18" si="20">C18</f>
        <v>13</v>
      </c>
      <c r="AC18" s="32">
        <f t="shared" si="20"/>
        <v>100</v>
      </c>
      <c r="AD18" s="31">
        <f t="shared" si="20"/>
        <v>13</v>
      </c>
      <c r="AE18" s="32">
        <f t="shared" si="20"/>
        <v>100</v>
      </c>
      <c r="AF18" s="31">
        <f t="shared" si="20"/>
        <v>134</v>
      </c>
      <c r="AG18" s="32">
        <f t="shared" si="20"/>
        <v>96.2686567164179</v>
      </c>
      <c r="AH18" s="31">
        <f t="shared" si="20"/>
        <v>114</v>
      </c>
      <c r="AI18" s="32">
        <f t="shared" si="20"/>
        <v>85.0746268656716</v>
      </c>
      <c r="AJ18" s="31">
        <f t="shared" si="20"/>
        <v>147</v>
      </c>
      <c r="AK18" s="32">
        <f t="shared" si="20"/>
        <v>96.5986394557823</v>
      </c>
      <c r="AL18" s="31">
        <f t="shared" si="20"/>
        <v>127</v>
      </c>
      <c r="AM18" s="32">
        <f t="shared" si="20"/>
        <v>86.3945578231292</v>
      </c>
    </row>
    <row r="19" ht="15.25" spans="2:39">
      <c r="B19" s="33" t="s">
        <v>24</v>
      </c>
      <c r="C19" s="22">
        <f>O61</f>
        <v>1</v>
      </c>
      <c r="D19" s="34">
        <f>E61*100</f>
        <v>100</v>
      </c>
      <c r="E19" s="22">
        <f>Q61</f>
        <v>1</v>
      </c>
      <c r="F19" s="34">
        <f>S61*100</f>
        <v>100</v>
      </c>
      <c r="G19" s="22">
        <f>O62</f>
        <v>56</v>
      </c>
      <c r="H19" s="34">
        <f>E62*100</f>
        <v>94.6428571428571</v>
      </c>
      <c r="I19" s="22">
        <f>Q62</f>
        <v>54</v>
      </c>
      <c r="J19" s="34">
        <f>S62*100</f>
        <v>96.4285714285714</v>
      </c>
      <c r="K19" s="22">
        <f t="shared" si="0"/>
        <v>57</v>
      </c>
      <c r="L19" s="34">
        <f t="shared" si="1"/>
        <v>94.7368421052632</v>
      </c>
      <c r="M19" s="22">
        <f t="shared" si="7"/>
        <v>55</v>
      </c>
      <c r="N19" s="34">
        <f t="shared" si="2"/>
        <v>96.4912280701754</v>
      </c>
      <c r="P19">
        <f t="shared" si="8"/>
        <v>2</v>
      </c>
      <c r="Q19" s="18">
        <f>R61</f>
        <v>1</v>
      </c>
      <c r="R19" s="18">
        <f>R62</f>
        <v>53</v>
      </c>
      <c r="S19">
        <f t="shared" si="5"/>
        <v>54</v>
      </c>
      <c r="T19">
        <f t="shared" si="11"/>
        <v>3</v>
      </c>
      <c r="U19" s="19">
        <f t="shared" si="9"/>
        <v>0.947368421052632</v>
      </c>
      <c r="V19" s="18">
        <f>P61</f>
        <v>1</v>
      </c>
      <c r="W19" s="18">
        <f>P62</f>
        <v>56</v>
      </c>
      <c r="X19">
        <f t="shared" si="3"/>
        <v>57</v>
      </c>
      <c r="AA19" s="30" t="s">
        <v>24</v>
      </c>
      <c r="AB19" s="31">
        <f t="shared" ref="AB19:AM19" si="21">C19</f>
        <v>1</v>
      </c>
      <c r="AC19" s="32">
        <f t="shared" si="21"/>
        <v>100</v>
      </c>
      <c r="AD19" s="31">
        <f t="shared" si="21"/>
        <v>1</v>
      </c>
      <c r="AE19" s="32">
        <f t="shared" si="21"/>
        <v>100</v>
      </c>
      <c r="AF19" s="31">
        <f t="shared" si="21"/>
        <v>56</v>
      </c>
      <c r="AG19" s="32">
        <f t="shared" si="21"/>
        <v>94.6428571428571</v>
      </c>
      <c r="AH19" s="31">
        <f t="shared" si="21"/>
        <v>54</v>
      </c>
      <c r="AI19" s="32">
        <f t="shared" si="21"/>
        <v>96.4285714285714</v>
      </c>
      <c r="AJ19" s="31">
        <f t="shared" si="21"/>
        <v>57</v>
      </c>
      <c r="AK19" s="32">
        <f t="shared" si="21"/>
        <v>94.7368421052632</v>
      </c>
      <c r="AL19" s="31">
        <f t="shared" si="21"/>
        <v>55</v>
      </c>
      <c r="AM19" s="32">
        <f t="shared" si="21"/>
        <v>96.4912280701754</v>
      </c>
    </row>
    <row r="20" ht="15.25" spans="2:39">
      <c r="B20" s="29" t="s">
        <v>25</v>
      </c>
      <c r="C20" s="16">
        <f>O63</f>
        <v>11</v>
      </c>
      <c r="D20" s="17">
        <f>E63*100</f>
        <v>100</v>
      </c>
      <c r="E20" s="16">
        <f>Q63</f>
        <v>11</v>
      </c>
      <c r="F20" s="17">
        <f>S63*100</f>
        <v>100</v>
      </c>
      <c r="G20" s="16">
        <f>O64</f>
        <v>106</v>
      </c>
      <c r="H20" s="17">
        <f>E64*100</f>
        <v>85.8490566037736</v>
      </c>
      <c r="I20" s="16">
        <f>Q64</f>
        <v>89</v>
      </c>
      <c r="J20" s="17">
        <f>S64*100</f>
        <v>83.9622641509434</v>
      </c>
      <c r="K20" s="16">
        <f t="shared" si="0"/>
        <v>117</v>
      </c>
      <c r="L20" s="17">
        <f t="shared" si="1"/>
        <v>87.1794871794872</v>
      </c>
      <c r="M20" s="16">
        <f t="shared" si="7"/>
        <v>100</v>
      </c>
      <c r="N20" s="17">
        <f t="shared" si="2"/>
        <v>85.4700854700855</v>
      </c>
      <c r="P20">
        <f t="shared" si="8"/>
        <v>17</v>
      </c>
      <c r="Q20" s="18">
        <f>R63</f>
        <v>11</v>
      </c>
      <c r="R20" s="18">
        <f>R64</f>
        <v>91</v>
      </c>
      <c r="S20">
        <f t="shared" si="5"/>
        <v>102</v>
      </c>
      <c r="T20">
        <f t="shared" si="11"/>
        <v>15</v>
      </c>
      <c r="U20" s="19">
        <f t="shared" si="9"/>
        <v>0.871794871794872</v>
      </c>
      <c r="V20" s="18">
        <f>P63</f>
        <v>11</v>
      </c>
      <c r="W20" s="18">
        <f>P64</f>
        <v>106</v>
      </c>
      <c r="X20">
        <f t="shared" si="3"/>
        <v>117</v>
      </c>
      <c r="AA20" s="35" t="s">
        <v>25</v>
      </c>
      <c r="AB20" s="36">
        <f t="shared" ref="AB20:AM20" si="22">C20</f>
        <v>11</v>
      </c>
      <c r="AC20" s="37">
        <f t="shared" si="22"/>
        <v>100</v>
      </c>
      <c r="AD20" s="36">
        <f t="shared" si="22"/>
        <v>11</v>
      </c>
      <c r="AE20" s="37">
        <f t="shared" si="22"/>
        <v>100</v>
      </c>
      <c r="AF20" s="36">
        <f t="shared" si="22"/>
        <v>106</v>
      </c>
      <c r="AG20" s="37">
        <f t="shared" si="22"/>
        <v>85.8490566037736</v>
      </c>
      <c r="AH20" s="36">
        <f t="shared" si="22"/>
        <v>89</v>
      </c>
      <c r="AI20" s="37">
        <f t="shared" si="22"/>
        <v>83.9622641509434</v>
      </c>
      <c r="AJ20" s="36">
        <f t="shared" si="22"/>
        <v>117</v>
      </c>
      <c r="AK20" s="37">
        <f t="shared" si="22"/>
        <v>87.1794871794872</v>
      </c>
      <c r="AL20" s="36">
        <f t="shared" si="22"/>
        <v>100</v>
      </c>
      <c r="AM20" s="37">
        <f t="shared" si="22"/>
        <v>85.4700854700855</v>
      </c>
    </row>
    <row r="21" ht="15.25" spans="2:39">
      <c r="B21" s="33" t="s">
        <v>26</v>
      </c>
      <c r="C21" s="22">
        <f>O65</f>
        <v>9</v>
      </c>
      <c r="D21" s="34">
        <f>E65*100</f>
        <v>88.8888888888889</v>
      </c>
      <c r="E21" s="22">
        <f>Q65</f>
        <v>8</v>
      </c>
      <c r="F21" s="34">
        <f>S65*100</f>
        <v>88.8888888888889</v>
      </c>
      <c r="G21" s="22">
        <f>O66</f>
        <v>158</v>
      </c>
      <c r="H21" s="34">
        <f>E66*100</f>
        <v>74.6835443037975</v>
      </c>
      <c r="I21" s="22">
        <f>Q66</f>
        <v>71</v>
      </c>
      <c r="J21" s="34">
        <f>S66*100</f>
        <v>44.9367088607595</v>
      </c>
      <c r="K21" s="22">
        <f t="shared" si="0"/>
        <v>167</v>
      </c>
      <c r="L21" s="34">
        <f t="shared" si="1"/>
        <v>75.4491017964072</v>
      </c>
      <c r="M21" s="22">
        <f t="shared" si="7"/>
        <v>79</v>
      </c>
      <c r="N21" s="34">
        <f t="shared" si="2"/>
        <v>47.3053892215569</v>
      </c>
      <c r="P21">
        <f t="shared" si="8"/>
        <v>88</v>
      </c>
      <c r="Q21" s="18">
        <f>R65</f>
        <v>8</v>
      </c>
      <c r="R21" s="18">
        <f>R66</f>
        <v>118</v>
      </c>
      <c r="S21">
        <f t="shared" si="5"/>
        <v>126</v>
      </c>
      <c r="T21">
        <f t="shared" si="11"/>
        <v>41</v>
      </c>
      <c r="U21" s="19">
        <f t="shared" si="9"/>
        <v>0.754491017964072</v>
      </c>
      <c r="V21" s="18">
        <f>P65</f>
        <v>9</v>
      </c>
      <c r="W21" s="18">
        <f>P66</f>
        <v>158</v>
      </c>
      <c r="X21">
        <f t="shared" si="3"/>
        <v>167</v>
      </c>
      <c r="AA21" s="35" t="s">
        <v>26</v>
      </c>
      <c r="AB21" s="36">
        <f t="shared" ref="AB21:AM21" si="23">C21</f>
        <v>9</v>
      </c>
      <c r="AC21" s="37">
        <f t="shared" si="23"/>
        <v>88.8888888888889</v>
      </c>
      <c r="AD21" s="36">
        <f t="shared" si="23"/>
        <v>8</v>
      </c>
      <c r="AE21" s="37">
        <f t="shared" si="23"/>
        <v>88.8888888888889</v>
      </c>
      <c r="AF21" s="36">
        <f t="shared" si="23"/>
        <v>158</v>
      </c>
      <c r="AG21" s="37">
        <f t="shared" si="23"/>
        <v>74.6835443037975</v>
      </c>
      <c r="AH21" s="36">
        <f t="shared" si="23"/>
        <v>71</v>
      </c>
      <c r="AI21" s="37">
        <f t="shared" si="23"/>
        <v>44.9367088607595</v>
      </c>
      <c r="AJ21" s="36">
        <f t="shared" si="23"/>
        <v>167</v>
      </c>
      <c r="AK21" s="37">
        <f t="shared" si="23"/>
        <v>75.4491017964072</v>
      </c>
      <c r="AL21" s="36">
        <f t="shared" si="23"/>
        <v>79</v>
      </c>
      <c r="AM21" s="37">
        <f t="shared" si="23"/>
        <v>47.3053892215569</v>
      </c>
    </row>
    <row r="22" ht="15.25" spans="2:39">
      <c r="B22" s="29" t="s">
        <v>27</v>
      </c>
      <c r="C22" s="16">
        <f>O67</f>
        <v>8</v>
      </c>
      <c r="D22" s="17">
        <f>E67*100</f>
        <v>87.5</v>
      </c>
      <c r="E22" s="16">
        <f>Q67</f>
        <v>8</v>
      </c>
      <c r="F22" s="17">
        <f>S67*100</f>
        <v>100</v>
      </c>
      <c r="G22" s="16">
        <f>O68</f>
        <v>97</v>
      </c>
      <c r="H22" s="17">
        <f>E68*100</f>
        <v>89.6907216494845</v>
      </c>
      <c r="I22" s="16">
        <f>Q68</f>
        <v>74</v>
      </c>
      <c r="J22" s="17">
        <f>S68*100</f>
        <v>76.2886597938144</v>
      </c>
      <c r="K22" s="16">
        <f t="shared" si="0"/>
        <v>105</v>
      </c>
      <c r="L22" s="17">
        <f t="shared" si="1"/>
        <v>89.5238095238095</v>
      </c>
      <c r="M22" s="16">
        <f t="shared" si="7"/>
        <v>82</v>
      </c>
      <c r="N22" s="17">
        <f t="shared" si="2"/>
        <v>78.0952380952381</v>
      </c>
      <c r="P22">
        <f t="shared" si="8"/>
        <v>23</v>
      </c>
      <c r="Q22" s="18">
        <f>R67</f>
        <v>7</v>
      </c>
      <c r="R22" s="18">
        <f>R68</f>
        <v>87</v>
      </c>
      <c r="S22">
        <f t="shared" si="5"/>
        <v>94</v>
      </c>
      <c r="T22">
        <f t="shared" si="11"/>
        <v>11</v>
      </c>
      <c r="U22" s="19">
        <f t="shared" si="9"/>
        <v>0.895238095238095</v>
      </c>
      <c r="V22" s="18">
        <f>P67</f>
        <v>8</v>
      </c>
      <c r="W22" s="18">
        <f>P68</f>
        <v>97</v>
      </c>
      <c r="X22">
        <f t="shared" si="3"/>
        <v>105</v>
      </c>
      <c r="AA22" s="35" t="s">
        <v>27</v>
      </c>
      <c r="AB22" s="36">
        <f t="shared" ref="AB22:AM22" si="24">C22</f>
        <v>8</v>
      </c>
      <c r="AC22" s="37">
        <f t="shared" si="24"/>
        <v>87.5</v>
      </c>
      <c r="AD22" s="36">
        <f t="shared" si="24"/>
        <v>8</v>
      </c>
      <c r="AE22" s="37">
        <f t="shared" si="24"/>
        <v>100</v>
      </c>
      <c r="AF22" s="36">
        <f t="shared" si="24"/>
        <v>97</v>
      </c>
      <c r="AG22" s="37">
        <f t="shared" si="24"/>
        <v>89.6907216494845</v>
      </c>
      <c r="AH22" s="36">
        <f t="shared" si="24"/>
        <v>74</v>
      </c>
      <c r="AI22" s="37">
        <f t="shared" si="24"/>
        <v>76.2886597938144</v>
      </c>
      <c r="AJ22" s="36">
        <f t="shared" si="24"/>
        <v>105</v>
      </c>
      <c r="AK22" s="37">
        <f t="shared" si="24"/>
        <v>89.5238095238095</v>
      </c>
      <c r="AL22" s="36">
        <f t="shared" si="24"/>
        <v>82</v>
      </c>
      <c r="AM22" s="37">
        <f t="shared" si="24"/>
        <v>78.0952380952381</v>
      </c>
    </row>
    <row r="23" ht="15.25" spans="2:39">
      <c r="B23" s="33" t="s">
        <v>28</v>
      </c>
      <c r="C23" s="22">
        <f>O69</f>
        <v>9</v>
      </c>
      <c r="D23" s="34">
        <f>E69*100</f>
        <v>77.7777777777778</v>
      </c>
      <c r="E23" s="22">
        <f>Q69</f>
        <v>9</v>
      </c>
      <c r="F23" s="34">
        <f>S69*100</f>
        <v>100</v>
      </c>
      <c r="G23" s="22">
        <f>O70</f>
        <v>77</v>
      </c>
      <c r="H23" s="34">
        <f>E70*100</f>
        <v>92.2077922077922</v>
      </c>
      <c r="I23" s="22">
        <f>Q70</f>
        <v>60</v>
      </c>
      <c r="J23" s="34">
        <f>S70*100</f>
        <v>77.9220779220779</v>
      </c>
      <c r="K23" s="22">
        <f t="shared" si="0"/>
        <v>86</v>
      </c>
      <c r="L23" s="34">
        <f t="shared" si="1"/>
        <v>90.6976744186046</v>
      </c>
      <c r="M23" s="22">
        <f t="shared" si="7"/>
        <v>69</v>
      </c>
      <c r="N23" s="34">
        <f t="shared" si="2"/>
        <v>80.2325581395349</v>
      </c>
      <c r="P23">
        <f t="shared" si="8"/>
        <v>17</v>
      </c>
      <c r="Q23" s="18">
        <f>R69</f>
        <v>7</v>
      </c>
      <c r="R23" s="18">
        <f>R70</f>
        <v>71</v>
      </c>
      <c r="S23">
        <f t="shared" si="5"/>
        <v>78</v>
      </c>
      <c r="T23">
        <f t="shared" si="11"/>
        <v>8</v>
      </c>
      <c r="U23" s="19">
        <f t="shared" si="9"/>
        <v>0.906976744186046</v>
      </c>
      <c r="V23" s="18">
        <f>P69</f>
        <v>9</v>
      </c>
      <c r="W23" s="18">
        <f>P70</f>
        <v>77</v>
      </c>
      <c r="X23">
        <f t="shared" si="3"/>
        <v>86</v>
      </c>
      <c r="AA23" s="35" t="s">
        <v>28</v>
      </c>
      <c r="AB23" s="36">
        <f t="shared" ref="AB23:AM23" si="25">C23</f>
        <v>9</v>
      </c>
      <c r="AC23" s="37">
        <f t="shared" si="25"/>
        <v>77.7777777777778</v>
      </c>
      <c r="AD23" s="36">
        <f t="shared" si="25"/>
        <v>9</v>
      </c>
      <c r="AE23" s="37">
        <f t="shared" si="25"/>
        <v>100</v>
      </c>
      <c r="AF23" s="36">
        <f t="shared" si="25"/>
        <v>77</v>
      </c>
      <c r="AG23" s="37">
        <f t="shared" si="25"/>
        <v>92.2077922077922</v>
      </c>
      <c r="AH23" s="36">
        <f t="shared" si="25"/>
        <v>60</v>
      </c>
      <c r="AI23" s="37">
        <f t="shared" si="25"/>
        <v>77.9220779220779</v>
      </c>
      <c r="AJ23" s="36">
        <f t="shared" si="25"/>
        <v>86</v>
      </c>
      <c r="AK23" s="37">
        <f t="shared" si="25"/>
        <v>90.6976744186046</v>
      </c>
      <c r="AL23" s="36">
        <f t="shared" si="25"/>
        <v>69</v>
      </c>
      <c r="AM23" s="37">
        <f t="shared" si="25"/>
        <v>80.2325581395349</v>
      </c>
    </row>
    <row r="24" ht="15.25" spans="2:39">
      <c r="B24" s="29" t="s">
        <v>29</v>
      </c>
      <c r="C24" s="16">
        <f>O71</f>
        <v>37</v>
      </c>
      <c r="D24" s="17">
        <f>E71*100</f>
        <v>100</v>
      </c>
      <c r="E24" s="16">
        <f>Q71</f>
        <v>37</v>
      </c>
      <c r="F24" s="17">
        <f>S71*100</f>
        <v>100</v>
      </c>
      <c r="G24" s="16">
        <f>O72</f>
        <v>218</v>
      </c>
      <c r="H24" s="17">
        <f>E72*100</f>
        <v>99.0825688073395</v>
      </c>
      <c r="I24" s="16">
        <f>Q72</f>
        <v>210</v>
      </c>
      <c r="J24" s="17">
        <f>S72*100</f>
        <v>96.3302752293578</v>
      </c>
      <c r="K24" s="16">
        <f t="shared" si="0"/>
        <v>255</v>
      </c>
      <c r="L24" s="17">
        <f t="shared" si="1"/>
        <v>99.2156862745098</v>
      </c>
      <c r="M24" s="16">
        <f t="shared" si="7"/>
        <v>247</v>
      </c>
      <c r="N24" s="17">
        <f t="shared" si="2"/>
        <v>96.8627450980392</v>
      </c>
      <c r="P24">
        <f t="shared" si="8"/>
        <v>8</v>
      </c>
      <c r="Q24" s="18">
        <f>R71</f>
        <v>37</v>
      </c>
      <c r="R24" s="18">
        <f>R72</f>
        <v>216</v>
      </c>
      <c r="S24">
        <f t="shared" si="5"/>
        <v>253</v>
      </c>
      <c r="T24">
        <f t="shared" si="11"/>
        <v>2</v>
      </c>
      <c r="U24" s="19">
        <f t="shared" si="9"/>
        <v>0.992156862745098</v>
      </c>
      <c r="V24" s="18">
        <f>P71</f>
        <v>37</v>
      </c>
      <c r="W24" s="18">
        <f>P72</f>
        <v>218</v>
      </c>
      <c r="X24">
        <f t="shared" si="3"/>
        <v>255</v>
      </c>
      <c r="AA24" s="30" t="s">
        <v>29</v>
      </c>
      <c r="AB24" s="31">
        <f t="shared" ref="AB24:AM24" si="26">C24</f>
        <v>37</v>
      </c>
      <c r="AC24" s="32">
        <f t="shared" si="26"/>
        <v>100</v>
      </c>
      <c r="AD24" s="31">
        <f t="shared" si="26"/>
        <v>37</v>
      </c>
      <c r="AE24" s="32">
        <f t="shared" si="26"/>
        <v>100</v>
      </c>
      <c r="AF24" s="31">
        <f t="shared" si="26"/>
        <v>218</v>
      </c>
      <c r="AG24" s="32">
        <f t="shared" si="26"/>
        <v>99.0825688073395</v>
      </c>
      <c r="AH24" s="31">
        <f t="shared" si="26"/>
        <v>210</v>
      </c>
      <c r="AI24" s="32">
        <f t="shared" si="26"/>
        <v>96.3302752293578</v>
      </c>
      <c r="AJ24" s="31">
        <f t="shared" si="26"/>
        <v>255</v>
      </c>
      <c r="AK24" s="32">
        <f t="shared" si="26"/>
        <v>99.2156862745098</v>
      </c>
      <c r="AL24" s="31">
        <f t="shared" si="26"/>
        <v>247</v>
      </c>
      <c r="AM24" s="32">
        <f t="shared" si="26"/>
        <v>96.8627450980392</v>
      </c>
    </row>
    <row r="25" ht="15.25" spans="2:39">
      <c r="B25" s="33" t="s">
        <v>30</v>
      </c>
      <c r="C25" s="22">
        <f>O73</f>
        <v>46</v>
      </c>
      <c r="D25" s="34">
        <f>E73*100</f>
        <v>95.6521739130435</v>
      </c>
      <c r="E25" s="22">
        <f>Q73</f>
        <v>46</v>
      </c>
      <c r="F25" s="34">
        <f>S73*100</f>
        <v>100</v>
      </c>
      <c r="G25" s="22">
        <f>O74</f>
        <v>235</v>
      </c>
      <c r="H25" s="34">
        <f>E74*100</f>
        <v>94.0425531914894</v>
      </c>
      <c r="I25" s="22">
        <f>Q74</f>
        <v>201</v>
      </c>
      <c r="J25" s="34">
        <f>S74*100</f>
        <v>85.531914893617</v>
      </c>
      <c r="K25" s="22">
        <f t="shared" si="0"/>
        <v>281</v>
      </c>
      <c r="L25" s="34">
        <f t="shared" si="1"/>
        <v>94.3060498220641</v>
      </c>
      <c r="M25" s="22">
        <f t="shared" si="7"/>
        <v>247</v>
      </c>
      <c r="N25" s="34">
        <f t="shared" si="2"/>
        <v>87.9003558718861</v>
      </c>
      <c r="P25">
        <f t="shared" si="8"/>
        <v>34</v>
      </c>
      <c r="Q25" s="18">
        <f>R73</f>
        <v>44</v>
      </c>
      <c r="R25" s="18">
        <f>R74</f>
        <v>221</v>
      </c>
      <c r="S25">
        <f t="shared" si="5"/>
        <v>265</v>
      </c>
      <c r="T25">
        <f t="shared" si="11"/>
        <v>16</v>
      </c>
      <c r="U25" s="19">
        <f t="shared" si="9"/>
        <v>0.943060498220641</v>
      </c>
      <c r="V25" s="18">
        <f>P73</f>
        <v>46</v>
      </c>
      <c r="W25" s="18">
        <f>P74</f>
        <v>235</v>
      </c>
      <c r="X25">
        <f t="shared" si="3"/>
        <v>281</v>
      </c>
      <c r="AA25" s="30" t="s">
        <v>30</v>
      </c>
      <c r="AB25" s="31">
        <f t="shared" ref="AB25:AM25" si="27">C25</f>
        <v>46</v>
      </c>
      <c r="AC25" s="32">
        <f t="shared" si="27"/>
        <v>95.6521739130435</v>
      </c>
      <c r="AD25" s="31">
        <f t="shared" si="27"/>
        <v>46</v>
      </c>
      <c r="AE25" s="32">
        <f t="shared" si="27"/>
        <v>100</v>
      </c>
      <c r="AF25" s="31">
        <f t="shared" si="27"/>
        <v>235</v>
      </c>
      <c r="AG25" s="32">
        <f t="shared" si="27"/>
        <v>94.0425531914894</v>
      </c>
      <c r="AH25" s="31">
        <f t="shared" si="27"/>
        <v>201</v>
      </c>
      <c r="AI25" s="32">
        <f t="shared" si="27"/>
        <v>85.531914893617</v>
      </c>
      <c r="AJ25" s="31">
        <f t="shared" si="27"/>
        <v>281</v>
      </c>
      <c r="AK25" s="32">
        <f t="shared" si="27"/>
        <v>94.3060498220641</v>
      </c>
      <c r="AL25" s="31">
        <f t="shared" si="27"/>
        <v>247</v>
      </c>
      <c r="AM25" s="32">
        <f t="shared" si="27"/>
        <v>87.9003558718861</v>
      </c>
    </row>
    <row r="26" ht="15.25" spans="2:39">
      <c r="B26" s="29" t="s">
        <v>31</v>
      </c>
      <c r="C26" s="16">
        <f>O75</f>
        <v>10</v>
      </c>
      <c r="D26" s="17">
        <f>E75*100</f>
        <v>100</v>
      </c>
      <c r="E26" s="16">
        <f>Q75</f>
        <v>10</v>
      </c>
      <c r="F26" s="17">
        <f>S75*100</f>
        <v>100</v>
      </c>
      <c r="G26" s="16">
        <f>O76</f>
        <v>130</v>
      </c>
      <c r="H26" s="17">
        <f>E76*100</f>
        <v>100</v>
      </c>
      <c r="I26" s="16">
        <f>Q76</f>
        <v>128</v>
      </c>
      <c r="J26" s="17">
        <f>S76*100</f>
        <v>98.4615384615385</v>
      </c>
      <c r="K26" s="16">
        <f t="shared" si="0"/>
        <v>140</v>
      </c>
      <c r="L26" s="17">
        <f t="shared" si="1"/>
        <v>100</v>
      </c>
      <c r="M26" s="16">
        <f t="shared" si="7"/>
        <v>138</v>
      </c>
      <c r="N26" s="17">
        <f t="shared" si="2"/>
        <v>98.5714285714286</v>
      </c>
      <c r="P26">
        <f t="shared" si="8"/>
        <v>2</v>
      </c>
      <c r="Q26" s="18">
        <f>R75</f>
        <v>10</v>
      </c>
      <c r="R26" s="18">
        <f>R76</f>
        <v>130</v>
      </c>
      <c r="S26">
        <f t="shared" si="5"/>
        <v>140</v>
      </c>
      <c r="T26">
        <f t="shared" si="11"/>
        <v>0</v>
      </c>
      <c r="U26" s="19">
        <f t="shared" si="9"/>
        <v>1</v>
      </c>
      <c r="V26" s="18">
        <f>P75</f>
        <v>10</v>
      </c>
      <c r="W26" s="18">
        <f>P76</f>
        <v>130</v>
      </c>
      <c r="X26">
        <f t="shared" si="3"/>
        <v>140</v>
      </c>
      <c r="AA26" s="30" t="s">
        <v>31</v>
      </c>
      <c r="AB26" s="31">
        <f t="shared" ref="AB26:AM26" si="28">C26</f>
        <v>10</v>
      </c>
      <c r="AC26" s="32">
        <f t="shared" si="28"/>
        <v>100</v>
      </c>
      <c r="AD26" s="31">
        <f t="shared" si="28"/>
        <v>10</v>
      </c>
      <c r="AE26" s="32">
        <f t="shared" si="28"/>
        <v>100</v>
      </c>
      <c r="AF26" s="31">
        <f t="shared" si="28"/>
        <v>130</v>
      </c>
      <c r="AG26" s="32">
        <f t="shared" si="28"/>
        <v>100</v>
      </c>
      <c r="AH26" s="31">
        <f t="shared" si="28"/>
        <v>128</v>
      </c>
      <c r="AI26" s="32">
        <f t="shared" si="28"/>
        <v>98.4615384615385</v>
      </c>
      <c r="AJ26" s="31">
        <f t="shared" si="28"/>
        <v>140</v>
      </c>
      <c r="AK26" s="32">
        <f t="shared" si="28"/>
        <v>100</v>
      </c>
      <c r="AL26" s="31">
        <f t="shared" si="28"/>
        <v>138</v>
      </c>
      <c r="AM26" s="32">
        <f t="shared" si="28"/>
        <v>98.5714285714286</v>
      </c>
    </row>
    <row r="27" ht="15.25" spans="2:39">
      <c r="B27" s="33" t="s">
        <v>32</v>
      </c>
      <c r="C27" s="22">
        <f>O77</f>
        <v>23</v>
      </c>
      <c r="D27" s="34">
        <f>E77*100</f>
        <v>100</v>
      </c>
      <c r="E27" s="22">
        <f>Q77</f>
        <v>23</v>
      </c>
      <c r="F27" s="34">
        <f>S77*100</f>
        <v>100</v>
      </c>
      <c r="G27" s="22">
        <f>O78</f>
        <v>196</v>
      </c>
      <c r="H27" s="34">
        <f>E78*100</f>
        <v>99.4897959183673</v>
      </c>
      <c r="I27" s="22">
        <f>Q78</f>
        <v>179</v>
      </c>
      <c r="J27" s="34">
        <f>S78*100</f>
        <v>91.3265306122449</v>
      </c>
      <c r="K27" s="22">
        <f t="shared" si="0"/>
        <v>219</v>
      </c>
      <c r="L27" s="34">
        <f t="shared" si="1"/>
        <v>99.5433789954338</v>
      </c>
      <c r="M27" s="22">
        <f t="shared" si="7"/>
        <v>202</v>
      </c>
      <c r="N27" s="34">
        <f t="shared" si="2"/>
        <v>92.2374429223744</v>
      </c>
      <c r="P27">
        <f t="shared" si="8"/>
        <v>17</v>
      </c>
      <c r="Q27" s="18">
        <f>R77</f>
        <v>23</v>
      </c>
      <c r="R27" s="18">
        <f>R78</f>
        <v>195</v>
      </c>
      <c r="S27">
        <f t="shared" si="5"/>
        <v>218</v>
      </c>
      <c r="T27">
        <f t="shared" si="11"/>
        <v>1</v>
      </c>
      <c r="U27" s="19">
        <f t="shared" si="9"/>
        <v>0.995433789954338</v>
      </c>
      <c r="V27" s="18">
        <f>P77</f>
        <v>23</v>
      </c>
      <c r="W27" s="18">
        <f>P78</f>
        <v>196</v>
      </c>
      <c r="X27">
        <f t="shared" si="3"/>
        <v>219</v>
      </c>
      <c r="AA27" s="30" t="s">
        <v>32</v>
      </c>
      <c r="AB27" s="31">
        <f t="shared" ref="AB27:AM27" si="29">C27</f>
        <v>23</v>
      </c>
      <c r="AC27" s="32">
        <f t="shared" si="29"/>
        <v>100</v>
      </c>
      <c r="AD27" s="31">
        <f t="shared" si="29"/>
        <v>23</v>
      </c>
      <c r="AE27" s="32">
        <f t="shared" si="29"/>
        <v>100</v>
      </c>
      <c r="AF27" s="31">
        <f t="shared" si="29"/>
        <v>196</v>
      </c>
      <c r="AG27" s="32">
        <f t="shared" si="29"/>
        <v>99.4897959183673</v>
      </c>
      <c r="AH27" s="31">
        <f t="shared" si="29"/>
        <v>179</v>
      </c>
      <c r="AI27" s="32">
        <f t="shared" si="29"/>
        <v>91.3265306122449</v>
      </c>
      <c r="AJ27" s="31">
        <f t="shared" si="29"/>
        <v>219</v>
      </c>
      <c r="AK27" s="32">
        <f t="shared" si="29"/>
        <v>99.5433789954338</v>
      </c>
      <c r="AL27" s="31">
        <f t="shared" si="29"/>
        <v>202</v>
      </c>
      <c r="AM27" s="32">
        <f t="shared" si="29"/>
        <v>92.2374429223744</v>
      </c>
    </row>
    <row r="28" ht="14.5" spans="2:39">
      <c r="B28" s="29" t="s">
        <v>33</v>
      </c>
      <c r="C28" s="16">
        <f>O79</f>
        <v>7</v>
      </c>
      <c r="D28" s="17">
        <f>E79*100</f>
        <v>100</v>
      </c>
      <c r="E28" s="16">
        <f>Q79</f>
        <v>7</v>
      </c>
      <c r="F28" s="17">
        <f>S79*100</f>
        <v>100</v>
      </c>
      <c r="G28" s="16">
        <f>O80</f>
        <v>116</v>
      </c>
      <c r="H28" s="17">
        <f>E80*100</f>
        <v>98.2758620689655</v>
      </c>
      <c r="I28" s="16">
        <f>Q80</f>
        <v>114</v>
      </c>
      <c r="J28" s="17">
        <f>S80*100</f>
        <v>98.2758620689655</v>
      </c>
      <c r="K28" s="16">
        <f t="shared" si="0"/>
        <v>123</v>
      </c>
      <c r="L28" s="17">
        <f t="shared" si="1"/>
        <v>98.3739837398374</v>
      </c>
      <c r="M28" s="16">
        <f t="shared" si="7"/>
        <v>121</v>
      </c>
      <c r="N28" s="17">
        <f t="shared" si="2"/>
        <v>98.3739837398374</v>
      </c>
      <c r="P28">
        <f t="shared" si="8"/>
        <v>2</v>
      </c>
      <c r="Q28" s="18">
        <f>R79</f>
        <v>7</v>
      </c>
      <c r="R28" s="18">
        <f>R80</f>
        <v>114</v>
      </c>
      <c r="S28">
        <f t="shared" si="5"/>
        <v>121</v>
      </c>
      <c r="T28">
        <f t="shared" si="11"/>
        <v>2</v>
      </c>
      <c r="U28" s="19">
        <f t="shared" si="9"/>
        <v>0.983739837398374</v>
      </c>
      <c r="V28" s="18">
        <f>P79</f>
        <v>7</v>
      </c>
      <c r="W28" s="18">
        <f>P80</f>
        <v>116</v>
      </c>
      <c r="X28">
        <f t="shared" si="3"/>
        <v>123</v>
      </c>
      <c r="AA28" s="38" t="s">
        <v>33</v>
      </c>
      <c r="AB28" s="31">
        <f t="shared" ref="AB28:AM28" si="30">C28</f>
        <v>7</v>
      </c>
      <c r="AC28" s="32">
        <f t="shared" si="30"/>
        <v>100</v>
      </c>
      <c r="AD28" s="31">
        <f t="shared" si="30"/>
        <v>7</v>
      </c>
      <c r="AE28" s="32">
        <f t="shared" si="30"/>
        <v>100</v>
      </c>
      <c r="AF28" s="31">
        <f t="shared" si="30"/>
        <v>116</v>
      </c>
      <c r="AG28" s="32">
        <f t="shared" si="30"/>
        <v>98.2758620689655</v>
      </c>
      <c r="AH28" s="31">
        <f t="shared" si="30"/>
        <v>114</v>
      </c>
      <c r="AI28" s="32">
        <f t="shared" si="30"/>
        <v>98.2758620689655</v>
      </c>
      <c r="AJ28" s="31">
        <f t="shared" si="30"/>
        <v>123</v>
      </c>
      <c r="AK28" s="32">
        <f t="shared" si="30"/>
        <v>98.3739837398374</v>
      </c>
      <c r="AL28" s="31">
        <f t="shared" si="30"/>
        <v>121</v>
      </c>
      <c r="AM28" s="32">
        <f t="shared" si="30"/>
        <v>98.3739837398374</v>
      </c>
    </row>
    <row r="29" customFormat="1" ht="29.75" spans="2:39">
      <c r="B29" s="29" t="s">
        <v>78</v>
      </c>
      <c r="C29" s="16">
        <f>O81</f>
        <v>14</v>
      </c>
      <c r="D29" s="17">
        <f>E81*100</f>
        <v>100</v>
      </c>
      <c r="E29" s="16">
        <f>Q81</f>
        <v>14</v>
      </c>
      <c r="F29" s="17">
        <f>S81*100</f>
        <v>100</v>
      </c>
      <c r="G29" s="16">
        <f>O82</f>
        <v>8</v>
      </c>
      <c r="H29" s="17">
        <f>E82*100</f>
        <v>100</v>
      </c>
      <c r="I29" s="16">
        <f>Q82</f>
        <v>8</v>
      </c>
      <c r="J29" s="17">
        <f>S82*100</f>
        <v>100</v>
      </c>
      <c r="K29" s="16">
        <f t="shared" si="0"/>
        <v>22</v>
      </c>
      <c r="L29" s="17">
        <f t="shared" si="1"/>
        <v>100</v>
      </c>
      <c r="M29" s="16">
        <f t="shared" si="7"/>
        <v>22</v>
      </c>
      <c r="N29" s="17">
        <f t="shared" si="2"/>
        <v>100</v>
      </c>
      <c r="P29">
        <f t="shared" si="8"/>
        <v>0</v>
      </c>
      <c r="Q29" s="18">
        <f>R81</f>
        <v>14</v>
      </c>
      <c r="R29" s="18">
        <f>R82</f>
        <v>8</v>
      </c>
      <c r="S29">
        <f t="shared" si="5"/>
        <v>22</v>
      </c>
      <c r="T29">
        <f t="shared" si="11"/>
        <v>0</v>
      </c>
      <c r="U29" s="19">
        <f t="shared" si="9"/>
        <v>1</v>
      </c>
      <c r="V29" s="18">
        <f>P81</f>
        <v>14</v>
      </c>
      <c r="W29" s="18">
        <f>P82</f>
        <v>8</v>
      </c>
      <c r="X29">
        <f t="shared" si="3"/>
        <v>22</v>
      </c>
      <c r="AA29" s="35" t="s">
        <v>79</v>
      </c>
      <c r="AB29" s="36">
        <f>C29</f>
        <v>14</v>
      </c>
      <c r="AC29" s="37">
        <f t="shared" ref="AB29:AM29" si="31">D29</f>
        <v>100</v>
      </c>
      <c r="AD29" s="36">
        <f t="shared" si="31"/>
        <v>14</v>
      </c>
      <c r="AE29" s="37">
        <f t="shared" si="31"/>
        <v>100</v>
      </c>
      <c r="AF29" s="36">
        <f t="shared" si="31"/>
        <v>8</v>
      </c>
      <c r="AG29" s="37">
        <f t="shared" si="31"/>
        <v>100</v>
      </c>
      <c r="AH29" s="36">
        <f t="shared" si="31"/>
        <v>8</v>
      </c>
      <c r="AI29" s="37">
        <f t="shared" si="31"/>
        <v>100</v>
      </c>
      <c r="AJ29" s="36">
        <f t="shared" si="31"/>
        <v>22</v>
      </c>
      <c r="AK29" s="37">
        <f t="shared" si="31"/>
        <v>100</v>
      </c>
      <c r="AL29" s="36">
        <f t="shared" si="31"/>
        <v>22</v>
      </c>
      <c r="AM29" s="37">
        <f t="shared" si="31"/>
        <v>100</v>
      </c>
    </row>
    <row r="30" spans="2:39">
      <c r="Q30" s="39"/>
      <c r="R30" s="39"/>
    </row>
    <row r="31" spans="2:39">
      <c r="Q31" s="39"/>
      <c r="R31" s="40"/>
    </row>
    <row r="32" spans="2:39">
      <c r="Q32" s="39"/>
      <c r="R32" s="40"/>
    </row>
    <row r="33" ht="21" spans="2:21">
      <c r="B33" s="11" t="s">
        <v>80</v>
      </c>
      <c r="Q33" s="39"/>
      <c r="R33" s="40"/>
    </row>
    <row r="34" ht="22.5" spans="2:21">
      <c r="B34" s="41" t="s">
        <v>35</v>
      </c>
      <c r="C34" s="42" t="s">
        <v>36</v>
      </c>
      <c r="D34" s="42" t="s">
        <v>64</v>
      </c>
      <c r="E34" s="42" t="s">
        <v>64</v>
      </c>
      <c r="F34" s="43" t="s">
        <v>6</v>
      </c>
      <c r="G34" s="43" t="s">
        <v>41</v>
      </c>
      <c r="H34" s="44" t="s">
        <v>42</v>
      </c>
      <c r="I34" s="43" t="s">
        <v>6</v>
      </c>
      <c r="J34" s="43" t="s">
        <v>41</v>
      </c>
      <c r="K34" s="44" t="s">
        <v>42</v>
      </c>
      <c r="L34" s="43" t="s">
        <v>6</v>
      </c>
      <c r="M34" s="43" t="s">
        <v>41</v>
      </c>
      <c r="N34" s="44" t="s">
        <v>42</v>
      </c>
      <c r="O34" s="43" t="s">
        <v>6</v>
      </c>
      <c r="P34" s="43" t="s">
        <v>41</v>
      </c>
      <c r="Q34" s="43" t="s">
        <v>43</v>
      </c>
      <c r="R34" s="45" t="s">
        <v>44</v>
      </c>
      <c r="S34" s="46" t="s">
        <v>45</v>
      </c>
      <c r="T34" s="47" t="s">
        <v>72</v>
      </c>
      <c r="U34" s="48" t="s">
        <v>81</v>
      </c>
    </row>
    <row r="35" ht="14.5" spans="2:21">
      <c r="B35" s="49" t="s">
        <v>46</v>
      </c>
      <c r="C35" s="50" t="s">
        <v>2</v>
      </c>
      <c r="D35" s="51">
        <v>0.985150307859471</v>
      </c>
      <c r="E35" s="51">
        <v>0.989157932779183</v>
      </c>
      <c r="F35" s="52">
        <v>2737</v>
      </c>
      <c r="G35" s="52">
        <v>2737</v>
      </c>
      <c r="H35" s="53">
        <v>2727</v>
      </c>
      <c r="I35" s="52">
        <v>11</v>
      </c>
      <c r="J35" s="52">
        <v>11</v>
      </c>
      <c r="K35" s="53">
        <v>11</v>
      </c>
      <c r="L35" s="52">
        <v>19</v>
      </c>
      <c r="M35" s="52">
        <v>19</v>
      </c>
      <c r="N35" s="53">
        <v>14</v>
      </c>
      <c r="O35" s="54">
        <v>2767</v>
      </c>
      <c r="P35" s="54">
        <v>2767</v>
      </c>
      <c r="Q35" s="54">
        <v>2752</v>
      </c>
      <c r="R35" s="54">
        <v>2737</v>
      </c>
      <c r="S35" s="55">
        <v>0.994578966389592</v>
      </c>
      <c r="T35" s="56">
        <v>30</v>
      </c>
      <c r="U35" s="57">
        <v>14</v>
      </c>
    </row>
    <row r="36" ht="14.5" spans="2:21">
      <c r="B36" s="58"/>
      <c r="C36" s="59" t="s">
        <v>3</v>
      </c>
      <c r="D36" s="60">
        <v>0.9441371447874</v>
      </c>
      <c r="E36" s="60">
        <v>0.944694452622282</v>
      </c>
      <c r="F36" s="61">
        <v>13200</v>
      </c>
      <c r="G36" s="61">
        <v>13200</v>
      </c>
      <c r="H36" s="62">
        <v>13087</v>
      </c>
      <c r="I36" s="61">
        <v>9262</v>
      </c>
      <c r="J36" s="61">
        <v>9262</v>
      </c>
      <c r="K36" s="62">
        <v>6173</v>
      </c>
      <c r="L36" s="61">
        <v>1315</v>
      </c>
      <c r="M36" s="61">
        <v>1315</v>
      </c>
      <c r="N36" s="62">
        <v>298</v>
      </c>
      <c r="O36" s="63">
        <v>23777</v>
      </c>
      <c r="P36" s="63">
        <v>23777</v>
      </c>
      <c r="Q36" s="63">
        <v>19558</v>
      </c>
      <c r="R36" s="63">
        <v>22462</v>
      </c>
      <c r="S36" s="64">
        <v>0.822559616436052</v>
      </c>
      <c r="T36" s="65">
        <v>1315</v>
      </c>
      <c r="U36" s="66">
        <v>3318</v>
      </c>
    </row>
    <row r="37" ht="14.5" spans="2:21">
      <c r="B37" s="49" t="s">
        <v>47</v>
      </c>
      <c r="C37" s="50" t="s">
        <v>2</v>
      </c>
      <c r="D37" s="51">
        <v>0.985150307859471</v>
      </c>
      <c r="E37" s="51">
        <v>0.989157932779183</v>
      </c>
      <c r="F37" s="52">
        <v>2737</v>
      </c>
      <c r="G37" s="52">
        <v>2737</v>
      </c>
      <c r="H37" s="53">
        <v>2727</v>
      </c>
      <c r="I37" s="52">
        <v>11</v>
      </c>
      <c r="J37" s="52">
        <v>11</v>
      </c>
      <c r="K37" s="53">
        <v>11</v>
      </c>
      <c r="L37" s="52">
        <v>19</v>
      </c>
      <c r="M37" s="52">
        <v>19</v>
      </c>
      <c r="N37" s="53">
        <v>14</v>
      </c>
      <c r="O37" s="54">
        <v>2767</v>
      </c>
      <c r="P37" s="54">
        <v>2767</v>
      </c>
      <c r="Q37" s="54">
        <v>2752</v>
      </c>
      <c r="R37" s="54">
        <v>2737</v>
      </c>
      <c r="S37" s="55">
        <v>0.994578966389592</v>
      </c>
      <c r="T37" s="67">
        <v>30</v>
      </c>
      <c r="U37" s="68">
        <v>15</v>
      </c>
    </row>
    <row r="38" ht="14.5" spans="2:21">
      <c r="B38" s="69"/>
      <c r="C38" s="59" t="s">
        <v>3</v>
      </c>
      <c r="D38" s="60">
        <v>0.944085203499429</v>
      </c>
      <c r="E38" s="60">
        <v>0.944643233003578</v>
      </c>
      <c r="F38" s="61">
        <v>13200</v>
      </c>
      <c r="G38" s="61">
        <v>13200</v>
      </c>
      <c r="H38" s="62">
        <v>13087</v>
      </c>
      <c r="I38" s="61">
        <v>9240</v>
      </c>
      <c r="J38" s="61">
        <v>9240</v>
      </c>
      <c r="K38" s="62">
        <v>6154</v>
      </c>
      <c r="L38" s="61">
        <v>1315</v>
      </c>
      <c r="M38" s="61">
        <v>1315</v>
      </c>
      <c r="N38" s="62">
        <v>298</v>
      </c>
      <c r="O38" s="63">
        <v>23755</v>
      </c>
      <c r="P38" s="63">
        <v>23755</v>
      </c>
      <c r="Q38" s="63">
        <v>19539</v>
      </c>
      <c r="R38" s="63">
        <v>22440</v>
      </c>
      <c r="S38" s="64">
        <v>0.822521574405388</v>
      </c>
      <c r="T38" s="65">
        <v>1315</v>
      </c>
      <c r="U38" s="66">
        <v>2809</v>
      </c>
    </row>
    <row r="39" ht="14.5" spans="2:21">
      <c r="B39" s="70" t="s">
        <v>13</v>
      </c>
      <c r="C39" s="71" t="s">
        <v>2</v>
      </c>
      <c r="D39" s="51">
        <v>0.989642184557439</v>
      </c>
      <c r="E39" s="51">
        <v>0.997193638914874</v>
      </c>
      <c r="F39" s="72">
        <v>1066</v>
      </c>
      <c r="G39" s="72">
        <v>1066</v>
      </c>
      <c r="H39" s="73">
        <v>1066</v>
      </c>
      <c r="I39" s="52">
        <v>1</v>
      </c>
      <c r="J39" s="52">
        <v>1</v>
      </c>
      <c r="K39" s="53">
        <v>1</v>
      </c>
      <c r="L39" s="52">
        <v>2</v>
      </c>
      <c r="M39" s="52">
        <v>2</v>
      </c>
      <c r="N39" s="53">
        <v>0</v>
      </c>
      <c r="O39" s="74">
        <v>1069</v>
      </c>
      <c r="P39" s="74">
        <v>1069</v>
      </c>
      <c r="Q39" s="74">
        <v>1067</v>
      </c>
      <c r="R39" s="74">
        <v>1066</v>
      </c>
      <c r="S39" s="75">
        <v>0.998129092609916</v>
      </c>
      <c r="T39" s="67">
        <v>3</v>
      </c>
      <c r="U39" s="68">
        <v>2</v>
      </c>
    </row>
    <row r="40" ht="14.5" spans="2:21">
      <c r="B40" s="70"/>
      <c r="C40" s="76" t="s">
        <v>3</v>
      </c>
      <c r="D40" s="77">
        <v>0.919298595197768</v>
      </c>
      <c r="E40" s="77">
        <v>0.9199723702388</v>
      </c>
      <c r="F40" s="78">
        <v>6364</v>
      </c>
      <c r="G40" s="78">
        <v>6364</v>
      </c>
      <c r="H40" s="79">
        <v>6321</v>
      </c>
      <c r="I40" s="80">
        <v>2959</v>
      </c>
      <c r="J40" s="80">
        <v>2959</v>
      </c>
      <c r="K40" s="81">
        <v>278</v>
      </c>
      <c r="L40" s="80">
        <v>811</v>
      </c>
      <c r="M40" s="80">
        <v>811</v>
      </c>
      <c r="N40" s="81">
        <v>70</v>
      </c>
      <c r="O40" s="82">
        <v>10134</v>
      </c>
      <c r="P40" s="82">
        <v>10134</v>
      </c>
      <c r="Q40" s="82">
        <v>6669</v>
      </c>
      <c r="R40" s="82">
        <v>9323</v>
      </c>
      <c r="S40" s="83">
        <v>0.658081705150977</v>
      </c>
      <c r="T40" s="65">
        <v>811</v>
      </c>
      <c r="U40" s="66">
        <v>921</v>
      </c>
    </row>
    <row r="41" ht="14.5" spans="2:21">
      <c r="B41" s="70" t="s">
        <v>14</v>
      </c>
      <c r="C41" s="71" t="s">
        <v>2</v>
      </c>
      <c r="D41" s="51">
        <v>0.99622641509434</v>
      </c>
      <c r="E41" s="51">
        <v>0.998109640831758</v>
      </c>
      <c r="F41" s="72">
        <v>528</v>
      </c>
      <c r="G41" s="72">
        <v>528</v>
      </c>
      <c r="H41" s="73">
        <v>527</v>
      </c>
      <c r="I41" s="52">
        <v>1</v>
      </c>
      <c r="J41" s="52">
        <v>1</v>
      </c>
      <c r="K41" s="53">
        <v>1</v>
      </c>
      <c r="L41" s="52">
        <v>0</v>
      </c>
      <c r="M41" s="52">
        <v>0</v>
      </c>
      <c r="N41" s="53">
        <v>0</v>
      </c>
      <c r="O41" s="74">
        <v>529</v>
      </c>
      <c r="P41" s="74">
        <v>529</v>
      </c>
      <c r="Q41" s="74">
        <v>528</v>
      </c>
      <c r="R41" s="74">
        <v>528</v>
      </c>
      <c r="S41" s="75">
        <v>0.998109640831758</v>
      </c>
      <c r="T41" s="67">
        <v>1</v>
      </c>
      <c r="U41" s="68">
        <v>6</v>
      </c>
    </row>
    <row r="42" ht="14.5" spans="2:21">
      <c r="B42" s="70"/>
      <c r="C42" s="76" t="s">
        <v>3</v>
      </c>
      <c r="D42" s="77">
        <v>0.988193921125345</v>
      </c>
      <c r="E42" s="77">
        <v>0.989193264639357</v>
      </c>
      <c r="F42" s="78">
        <v>1563</v>
      </c>
      <c r="G42" s="78">
        <v>1563</v>
      </c>
      <c r="H42" s="79">
        <v>1561</v>
      </c>
      <c r="I42" s="80">
        <v>2373</v>
      </c>
      <c r="J42" s="80">
        <v>2373</v>
      </c>
      <c r="K42" s="81">
        <v>2331</v>
      </c>
      <c r="L42" s="80">
        <v>43</v>
      </c>
      <c r="M42" s="80">
        <v>43</v>
      </c>
      <c r="N42" s="81">
        <v>14</v>
      </c>
      <c r="O42" s="82">
        <v>3979</v>
      </c>
      <c r="P42" s="82">
        <v>3979</v>
      </c>
      <c r="Q42" s="82">
        <v>3906</v>
      </c>
      <c r="R42" s="82">
        <v>3936</v>
      </c>
      <c r="S42" s="83">
        <v>0.981653681829605</v>
      </c>
      <c r="T42" s="65">
        <v>43</v>
      </c>
      <c r="U42" s="66">
        <v>843</v>
      </c>
    </row>
    <row r="43" ht="14.5" spans="2:21">
      <c r="B43" s="70" t="s">
        <v>15</v>
      </c>
      <c r="C43" s="71" t="s">
        <v>2</v>
      </c>
      <c r="D43" s="51">
        <v>0.990825688073395</v>
      </c>
      <c r="E43" s="51">
        <v>0.996941896024465</v>
      </c>
      <c r="F43" s="72">
        <v>326</v>
      </c>
      <c r="G43" s="72">
        <v>326</v>
      </c>
      <c r="H43" s="73">
        <v>326</v>
      </c>
      <c r="I43" s="52">
        <v>0</v>
      </c>
      <c r="J43" s="52">
        <v>0</v>
      </c>
      <c r="K43" s="53">
        <v>0</v>
      </c>
      <c r="L43" s="52">
        <v>1</v>
      </c>
      <c r="M43" s="52">
        <v>1</v>
      </c>
      <c r="N43" s="53">
        <v>0</v>
      </c>
      <c r="O43" s="74">
        <v>327</v>
      </c>
      <c r="P43" s="74">
        <v>327</v>
      </c>
      <c r="Q43" s="74">
        <v>326</v>
      </c>
      <c r="R43" s="74">
        <v>326</v>
      </c>
      <c r="S43" s="75">
        <v>0.996941896024465</v>
      </c>
      <c r="T43" s="67">
        <v>1</v>
      </c>
      <c r="U43" s="68">
        <v>0</v>
      </c>
    </row>
    <row r="44" ht="14.5" spans="2:21">
      <c r="B44" s="70"/>
      <c r="C44" s="76" t="s">
        <v>3</v>
      </c>
      <c r="D44" s="77">
        <v>0.986454453098544</v>
      </c>
      <c r="E44" s="77">
        <v>0.986449864498645</v>
      </c>
      <c r="F44" s="78">
        <v>2413</v>
      </c>
      <c r="G44" s="78">
        <v>2413</v>
      </c>
      <c r="H44" s="79">
        <v>2410</v>
      </c>
      <c r="I44" s="80">
        <v>499</v>
      </c>
      <c r="J44" s="80">
        <v>499</v>
      </c>
      <c r="K44" s="81">
        <v>462</v>
      </c>
      <c r="L44" s="80">
        <v>40</v>
      </c>
      <c r="M44" s="80">
        <v>40</v>
      </c>
      <c r="N44" s="81">
        <v>2</v>
      </c>
      <c r="O44" s="82">
        <v>2952</v>
      </c>
      <c r="P44" s="82">
        <v>2952</v>
      </c>
      <c r="Q44" s="82">
        <v>2874</v>
      </c>
      <c r="R44" s="82">
        <v>2912</v>
      </c>
      <c r="S44" s="83">
        <v>0.973577235772358</v>
      </c>
      <c r="T44" s="65">
        <v>40</v>
      </c>
      <c r="U44" s="66">
        <v>488</v>
      </c>
    </row>
    <row r="45" ht="14.5" spans="2:21">
      <c r="B45" s="70" t="s">
        <v>16</v>
      </c>
      <c r="C45" s="71" t="s">
        <v>2</v>
      </c>
      <c r="D45" s="51">
        <v>0.969026548672566</v>
      </c>
      <c r="E45" s="51">
        <v>0.969026548672566</v>
      </c>
      <c r="F45" s="72">
        <v>219</v>
      </c>
      <c r="G45" s="72">
        <v>219</v>
      </c>
      <c r="H45" s="73">
        <v>219</v>
      </c>
      <c r="I45" s="52">
        <v>4</v>
      </c>
      <c r="J45" s="52">
        <v>4</v>
      </c>
      <c r="K45" s="53">
        <v>4</v>
      </c>
      <c r="L45" s="52">
        <v>3</v>
      </c>
      <c r="M45" s="52">
        <v>3</v>
      </c>
      <c r="N45" s="53">
        <v>2</v>
      </c>
      <c r="O45" s="74">
        <v>226</v>
      </c>
      <c r="P45" s="74">
        <v>226</v>
      </c>
      <c r="Q45" s="74">
        <v>225</v>
      </c>
      <c r="R45" s="74">
        <v>219</v>
      </c>
      <c r="S45" s="75">
        <v>0.995575221238938</v>
      </c>
      <c r="T45" s="67">
        <v>7</v>
      </c>
      <c r="U45" s="68">
        <v>1</v>
      </c>
    </row>
    <row r="46" ht="14.5" spans="2:21">
      <c r="B46" s="70"/>
      <c r="C46" s="76" t="s">
        <v>3</v>
      </c>
      <c r="D46" s="77">
        <v>0.905959540732641</v>
      </c>
      <c r="E46" s="77">
        <v>0.905959540732641</v>
      </c>
      <c r="F46" s="78">
        <v>338</v>
      </c>
      <c r="G46" s="78">
        <v>338</v>
      </c>
      <c r="H46" s="79">
        <v>331</v>
      </c>
      <c r="I46" s="80">
        <v>1319</v>
      </c>
      <c r="J46" s="80">
        <v>1319</v>
      </c>
      <c r="K46" s="81">
        <v>1258</v>
      </c>
      <c r="L46" s="80">
        <v>172</v>
      </c>
      <c r="M46" s="80">
        <v>172</v>
      </c>
      <c r="N46" s="81">
        <v>115</v>
      </c>
      <c r="O46" s="82">
        <v>1829</v>
      </c>
      <c r="P46" s="82">
        <v>1829</v>
      </c>
      <c r="Q46" s="82">
        <v>1704</v>
      </c>
      <c r="R46" s="82">
        <v>1657</v>
      </c>
      <c r="S46" s="83">
        <v>0.931656642974303</v>
      </c>
      <c r="T46" s="65">
        <v>172</v>
      </c>
      <c r="U46" s="66">
        <v>492</v>
      </c>
    </row>
    <row r="47" ht="14.5" spans="2:21">
      <c r="B47" s="70" t="s">
        <v>17</v>
      </c>
      <c r="C47" s="71" t="s">
        <v>2</v>
      </c>
      <c r="D47" s="51">
        <v>0.988372093023256</v>
      </c>
      <c r="E47" s="51">
        <v>0.988235294117647</v>
      </c>
      <c r="F47" s="72">
        <v>84</v>
      </c>
      <c r="G47" s="72">
        <v>84</v>
      </c>
      <c r="H47" s="73">
        <v>84</v>
      </c>
      <c r="I47" s="52">
        <v>1</v>
      </c>
      <c r="J47" s="52">
        <v>1</v>
      </c>
      <c r="K47" s="53">
        <v>1</v>
      </c>
      <c r="L47" s="52">
        <v>0</v>
      </c>
      <c r="M47" s="52">
        <v>0</v>
      </c>
      <c r="N47" s="53">
        <v>0</v>
      </c>
      <c r="O47" s="74">
        <v>85</v>
      </c>
      <c r="P47" s="74">
        <v>85</v>
      </c>
      <c r="Q47" s="74">
        <v>85</v>
      </c>
      <c r="R47" s="74">
        <v>84</v>
      </c>
      <c r="S47" s="75">
        <v>1</v>
      </c>
      <c r="T47" s="67">
        <v>1</v>
      </c>
      <c r="U47" s="68">
        <v>1</v>
      </c>
    </row>
    <row r="48" ht="14.5" spans="2:21">
      <c r="B48" s="70"/>
      <c r="C48" s="76" t="s">
        <v>3</v>
      </c>
      <c r="D48" s="77">
        <v>0.902470741222367</v>
      </c>
      <c r="E48" s="77">
        <v>0.908972691807542</v>
      </c>
      <c r="F48" s="78">
        <v>653</v>
      </c>
      <c r="G48" s="78">
        <v>653</v>
      </c>
      <c r="H48" s="79">
        <v>647</v>
      </c>
      <c r="I48" s="80">
        <v>46</v>
      </c>
      <c r="J48" s="80">
        <v>46</v>
      </c>
      <c r="K48" s="81">
        <v>5</v>
      </c>
      <c r="L48" s="80">
        <v>70</v>
      </c>
      <c r="M48" s="80">
        <v>70</v>
      </c>
      <c r="N48" s="81">
        <v>7</v>
      </c>
      <c r="O48" s="82">
        <v>769</v>
      </c>
      <c r="P48" s="82">
        <v>769</v>
      </c>
      <c r="Q48" s="82">
        <v>659</v>
      </c>
      <c r="R48" s="82">
        <v>699</v>
      </c>
      <c r="S48" s="83">
        <v>0.856957087126138</v>
      </c>
      <c r="T48" s="65">
        <v>70</v>
      </c>
      <c r="U48" s="66">
        <v>220</v>
      </c>
    </row>
    <row r="49" ht="14.5" spans="2:21">
      <c r="B49" s="70" t="s">
        <v>18</v>
      </c>
      <c r="C49" s="71" t="s">
        <v>2</v>
      </c>
      <c r="D49" s="51">
        <v>0.846153846153846</v>
      </c>
      <c r="E49" s="51">
        <v>0.846153846153846</v>
      </c>
      <c r="F49" s="72">
        <v>55</v>
      </c>
      <c r="G49" s="72">
        <v>55</v>
      </c>
      <c r="H49" s="73">
        <v>55</v>
      </c>
      <c r="I49" s="52">
        <v>0</v>
      </c>
      <c r="J49" s="52">
        <v>0</v>
      </c>
      <c r="K49" s="53">
        <v>0</v>
      </c>
      <c r="L49" s="52">
        <v>10</v>
      </c>
      <c r="M49" s="52">
        <v>10</v>
      </c>
      <c r="N49" s="53">
        <v>10</v>
      </c>
      <c r="O49" s="74">
        <v>65</v>
      </c>
      <c r="P49" s="74">
        <v>65</v>
      </c>
      <c r="Q49" s="74">
        <v>65</v>
      </c>
      <c r="R49" s="74">
        <v>55</v>
      </c>
      <c r="S49" s="75">
        <v>1</v>
      </c>
      <c r="T49" s="67">
        <v>10</v>
      </c>
      <c r="U49" s="68">
        <v>1</v>
      </c>
    </row>
    <row r="50" ht="14.5" spans="2:21">
      <c r="B50" s="70"/>
      <c r="C50" s="76" t="s">
        <v>3</v>
      </c>
      <c r="D50" s="77">
        <v>0.960662525879917</v>
      </c>
      <c r="E50" s="77">
        <v>0.960662525879917</v>
      </c>
      <c r="F50" s="78">
        <v>338</v>
      </c>
      <c r="G50" s="78">
        <v>338</v>
      </c>
      <c r="H50" s="79">
        <v>336</v>
      </c>
      <c r="I50" s="80">
        <v>590</v>
      </c>
      <c r="J50" s="80">
        <v>590</v>
      </c>
      <c r="K50" s="81">
        <v>583</v>
      </c>
      <c r="L50" s="80">
        <v>38</v>
      </c>
      <c r="M50" s="80">
        <v>38</v>
      </c>
      <c r="N50" s="81">
        <v>28</v>
      </c>
      <c r="O50" s="82">
        <v>966</v>
      </c>
      <c r="P50" s="82">
        <v>966</v>
      </c>
      <c r="Q50" s="82">
        <v>947</v>
      </c>
      <c r="R50" s="82">
        <v>928</v>
      </c>
      <c r="S50" s="83">
        <v>0.980331262939959</v>
      </c>
      <c r="T50" s="65">
        <v>38</v>
      </c>
      <c r="U50" s="66">
        <v>295</v>
      </c>
    </row>
    <row r="51" ht="14.5" spans="2:21">
      <c r="B51" s="70" t="s">
        <v>19</v>
      </c>
      <c r="C51" s="71" t="s">
        <v>2</v>
      </c>
      <c r="D51" s="51">
        <v>0.987341772151899</v>
      </c>
      <c r="E51" s="51">
        <v>0.987341772151899</v>
      </c>
      <c r="F51" s="72">
        <v>78</v>
      </c>
      <c r="G51" s="72">
        <v>78</v>
      </c>
      <c r="H51" s="73">
        <v>77</v>
      </c>
      <c r="I51" s="52">
        <v>1</v>
      </c>
      <c r="J51" s="52">
        <v>1</v>
      </c>
      <c r="K51" s="53">
        <v>1</v>
      </c>
      <c r="L51" s="52">
        <v>0</v>
      </c>
      <c r="M51" s="52">
        <v>0</v>
      </c>
      <c r="N51" s="53">
        <v>0</v>
      </c>
      <c r="O51" s="74">
        <v>79</v>
      </c>
      <c r="P51" s="74">
        <v>79</v>
      </c>
      <c r="Q51" s="74">
        <v>78</v>
      </c>
      <c r="R51" s="74">
        <v>78</v>
      </c>
      <c r="S51" s="75">
        <v>0.987341772151899</v>
      </c>
      <c r="T51" s="67">
        <v>1</v>
      </c>
      <c r="U51" s="68">
        <v>0</v>
      </c>
    </row>
    <row r="52" ht="14.5" spans="2:21">
      <c r="B52" s="70"/>
      <c r="C52" s="76" t="s">
        <v>3</v>
      </c>
      <c r="D52" s="77">
        <v>0.976152623211447</v>
      </c>
      <c r="E52" s="77">
        <v>0.976190476190476</v>
      </c>
      <c r="F52" s="78">
        <v>138</v>
      </c>
      <c r="G52" s="78">
        <v>138</v>
      </c>
      <c r="H52" s="79">
        <v>137</v>
      </c>
      <c r="I52" s="80">
        <v>477</v>
      </c>
      <c r="J52" s="80">
        <v>477</v>
      </c>
      <c r="K52" s="81">
        <v>409</v>
      </c>
      <c r="L52" s="80">
        <v>15</v>
      </c>
      <c r="M52" s="80">
        <v>15</v>
      </c>
      <c r="N52" s="81">
        <v>1</v>
      </c>
      <c r="O52" s="82">
        <v>630</v>
      </c>
      <c r="P52" s="82">
        <v>630</v>
      </c>
      <c r="Q52" s="82">
        <v>547</v>
      </c>
      <c r="R52" s="82">
        <v>615</v>
      </c>
      <c r="S52" s="83">
        <v>0.868253968253968</v>
      </c>
      <c r="T52" s="65">
        <v>15</v>
      </c>
      <c r="U52" s="66">
        <v>151</v>
      </c>
    </row>
    <row r="53" ht="14.5" spans="2:21">
      <c r="B53" s="70" t="s">
        <v>20</v>
      </c>
      <c r="C53" s="71" t="s">
        <v>2</v>
      </c>
      <c r="D53" s="51">
        <v>1</v>
      </c>
      <c r="E53" s="51">
        <v>1</v>
      </c>
      <c r="F53" s="72">
        <v>144</v>
      </c>
      <c r="G53" s="72">
        <v>144</v>
      </c>
      <c r="H53" s="73">
        <v>142</v>
      </c>
      <c r="I53" s="52">
        <v>0</v>
      </c>
      <c r="J53" s="52">
        <v>0</v>
      </c>
      <c r="K53" s="53">
        <v>0</v>
      </c>
      <c r="L53" s="52">
        <v>0</v>
      </c>
      <c r="M53" s="52">
        <v>0</v>
      </c>
      <c r="N53" s="53">
        <v>0</v>
      </c>
      <c r="O53" s="74">
        <v>144</v>
      </c>
      <c r="P53" s="74">
        <v>144</v>
      </c>
      <c r="Q53" s="74">
        <v>142</v>
      </c>
      <c r="R53" s="74">
        <v>144</v>
      </c>
      <c r="S53" s="75">
        <v>0.986111111111111</v>
      </c>
      <c r="T53" s="67">
        <v>0</v>
      </c>
      <c r="U53" s="68">
        <v>1</v>
      </c>
    </row>
    <row r="54" ht="14.5" spans="2:21">
      <c r="B54" s="70"/>
      <c r="C54" s="76" t="s">
        <v>3</v>
      </c>
      <c r="D54" s="77">
        <v>0.978579481397971</v>
      </c>
      <c r="E54" s="77">
        <v>0.978579481397971</v>
      </c>
      <c r="F54" s="78">
        <v>661</v>
      </c>
      <c r="G54" s="78">
        <v>661</v>
      </c>
      <c r="H54" s="79">
        <v>638</v>
      </c>
      <c r="I54" s="80">
        <v>207</v>
      </c>
      <c r="J54" s="80">
        <v>207</v>
      </c>
      <c r="K54" s="81">
        <v>190</v>
      </c>
      <c r="L54" s="80">
        <v>19</v>
      </c>
      <c r="M54" s="80">
        <v>19</v>
      </c>
      <c r="N54" s="81">
        <v>5</v>
      </c>
      <c r="O54" s="82">
        <v>887</v>
      </c>
      <c r="P54" s="82">
        <v>887</v>
      </c>
      <c r="Q54" s="82">
        <v>833</v>
      </c>
      <c r="R54" s="82">
        <v>868</v>
      </c>
      <c r="S54" s="83">
        <v>0.939120631341601</v>
      </c>
      <c r="T54" s="65">
        <v>19</v>
      </c>
      <c r="U54" s="66">
        <v>178</v>
      </c>
    </row>
    <row r="55" ht="14.5" spans="2:21">
      <c r="B55" s="70" t="s">
        <v>21</v>
      </c>
      <c r="C55" s="71" t="s">
        <v>2</v>
      </c>
      <c r="D55" s="51">
        <v>1</v>
      </c>
      <c r="E55" s="51">
        <v>1</v>
      </c>
      <c r="F55" s="72">
        <v>29</v>
      </c>
      <c r="G55" s="72">
        <v>29</v>
      </c>
      <c r="H55" s="73">
        <v>27</v>
      </c>
      <c r="I55" s="52">
        <v>0</v>
      </c>
      <c r="J55" s="52">
        <v>0</v>
      </c>
      <c r="K55" s="53">
        <v>0</v>
      </c>
      <c r="L55" s="52">
        <v>0</v>
      </c>
      <c r="M55" s="52">
        <v>0</v>
      </c>
      <c r="N55" s="53">
        <v>0</v>
      </c>
      <c r="O55" s="74">
        <v>29</v>
      </c>
      <c r="P55" s="74">
        <v>29</v>
      </c>
      <c r="Q55" s="74">
        <v>27</v>
      </c>
      <c r="R55" s="74">
        <v>29</v>
      </c>
      <c r="S55" s="75">
        <v>0.931034482758621</v>
      </c>
      <c r="T55" s="67">
        <v>0</v>
      </c>
      <c r="U55" s="68">
        <v>0</v>
      </c>
    </row>
    <row r="56" ht="14.5" spans="2:21">
      <c r="B56" s="70"/>
      <c r="C56" s="76" t="s">
        <v>3</v>
      </c>
      <c r="D56" s="77">
        <v>0.972111553784861</v>
      </c>
      <c r="E56" s="77">
        <v>0.972111553784861</v>
      </c>
      <c r="F56" s="78">
        <v>145</v>
      </c>
      <c r="G56" s="78">
        <v>145</v>
      </c>
      <c r="H56" s="79">
        <v>126</v>
      </c>
      <c r="I56" s="80">
        <v>99</v>
      </c>
      <c r="J56" s="80">
        <v>99</v>
      </c>
      <c r="K56" s="81">
        <v>74</v>
      </c>
      <c r="L56" s="80">
        <v>7</v>
      </c>
      <c r="M56" s="80">
        <v>7</v>
      </c>
      <c r="N56" s="81">
        <v>0</v>
      </c>
      <c r="O56" s="82">
        <v>251</v>
      </c>
      <c r="P56" s="82">
        <v>251</v>
      </c>
      <c r="Q56" s="82">
        <v>200</v>
      </c>
      <c r="R56" s="82">
        <v>244</v>
      </c>
      <c r="S56" s="83">
        <v>0.796812749003984</v>
      </c>
      <c r="T56" s="65">
        <v>7</v>
      </c>
      <c r="U56" s="66">
        <v>116</v>
      </c>
    </row>
    <row r="57" ht="14.5" spans="2:21">
      <c r="B57" s="70" t="s">
        <v>22</v>
      </c>
      <c r="C57" s="71" t="s">
        <v>2</v>
      </c>
      <c r="D57" s="51">
        <v>1</v>
      </c>
      <c r="E57" s="51">
        <v>1</v>
      </c>
      <c r="F57" s="72">
        <v>13</v>
      </c>
      <c r="G57" s="72">
        <v>13</v>
      </c>
      <c r="H57" s="73">
        <v>13</v>
      </c>
      <c r="I57" s="52">
        <v>0</v>
      </c>
      <c r="J57" s="52">
        <v>0</v>
      </c>
      <c r="K57" s="53">
        <v>0</v>
      </c>
      <c r="L57" s="52">
        <v>0</v>
      </c>
      <c r="M57" s="52">
        <v>0</v>
      </c>
      <c r="N57" s="53">
        <v>0</v>
      </c>
      <c r="O57" s="74">
        <v>13</v>
      </c>
      <c r="P57" s="74">
        <v>13</v>
      </c>
      <c r="Q57" s="74">
        <v>13</v>
      </c>
      <c r="R57" s="74">
        <v>13</v>
      </c>
      <c r="S57" s="75">
        <v>1</v>
      </c>
      <c r="T57" s="67">
        <v>0</v>
      </c>
      <c r="U57" s="68">
        <v>0</v>
      </c>
    </row>
    <row r="58" ht="14.5" spans="2:21">
      <c r="B58" s="70"/>
      <c r="C58" s="76" t="s">
        <v>3</v>
      </c>
      <c r="D58" s="77">
        <v>0.704</v>
      </c>
      <c r="E58" s="77">
        <v>0.696</v>
      </c>
      <c r="F58" s="78">
        <v>86</v>
      </c>
      <c r="G58" s="78">
        <v>86</v>
      </c>
      <c r="H58" s="79">
        <v>83</v>
      </c>
      <c r="I58" s="80">
        <v>1</v>
      </c>
      <c r="J58" s="80">
        <v>1</v>
      </c>
      <c r="K58" s="81">
        <v>0</v>
      </c>
      <c r="L58" s="80">
        <v>38</v>
      </c>
      <c r="M58" s="80">
        <v>38</v>
      </c>
      <c r="N58" s="81">
        <v>34</v>
      </c>
      <c r="O58" s="82">
        <v>125</v>
      </c>
      <c r="P58" s="82">
        <v>125</v>
      </c>
      <c r="Q58" s="82">
        <v>117</v>
      </c>
      <c r="R58" s="82">
        <v>87</v>
      </c>
      <c r="S58" s="83">
        <v>0.936</v>
      </c>
      <c r="T58" s="65">
        <v>38</v>
      </c>
      <c r="U58" s="66">
        <v>79</v>
      </c>
    </row>
    <row r="59" ht="14.5" spans="2:21">
      <c r="B59" s="70" t="s">
        <v>23</v>
      </c>
      <c r="C59" s="71" t="s">
        <v>2</v>
      </c>
      <c r="D59" s="51">
        <v>1</v>
      </c>
      <c r="E59" s="51">
        <v>1</v>
      </c>
      <c r="F59" s="72">
        <v>13</v>
      </c>
      <c r="G59" s="72">
        <v>13</v>
      </c>
      <c r="H59" s="73">
        <v>13</v>
      </c>
      <c r="I59" s="52">
        <v>0</v>
      </c>
      <c r="J59" s="52">
        <v>0</v>
      </c>
      <c r="K59" s="53">
        <v>0</v>
      </c>
      <c r="L59" s="52">
        <v>0</v>
      </c>
      <c r="M59" s="52">
        <v>0</v>
      </c>
      <c r="N59" s="53">
        <v>0</v>
      </c>
      <c r="O59" s="74">
        <v>13</v>
      </c>
      <c r="P59" s="74">
        <v>13</v>
      </c>
      <c r="Q59" s="74">
        <v>13</v>
      </c>
      <c r="R59" s="74">
        <v>13</v>
      </c>
      <c r="S59" s="75">
        <v>1</v>
      </c>
      <c r="T59" s="67">
        <v>0</v>
      </c>
      <c r="U59" s="68">
        <v>0</v>
      </c>
    </row>
    <row r="60" ht="14.5" spans="2:21">
      <c r="B60" s="70"/>
      <c r="C60" s="76" t="s">
        <v>3</v>
      </c>
      <c r="D60" s="77">
        <v>0.962686567164179</v>
      </c>
      <c r="E60" s="77">
        <v>0.962686567164179</v>
      </c>
      <c r="F60" s="78">
        <v>85</v>
      </c>
      <c r="G60" s="78">
        <v>85</v>
      </c>
      <c r="H60" s="79">
        <v>74</v>
      </c>
      <c r="I60" s="80">
        <v>44</v>
      </c>
      <c r="J60" s="80">
        <v>44</v>
      </c>
      <c r="K60" s="81">
        <v>38</v>
      </c>
      <c r="L60" s="80">
        <v>5</v>
      </c>
      <c r="M60" s="80">
        <v>5</v>
      </c>
      <c r="N60" s="81">
        <v>2</v>
      </c>
      <c r="O60" s="82">
        <v>134</v>
      </c>
      <c r="P60" s="82">
        <v>134</v>
      </c>
      <c r="Q60" s="82">
        <v>114</v>
      </c>
      <c r="R60" s="82">
        <v>129</v>
      </c>
      <c r="S60" s="83">
        <v>0.850746268656716</v>
      </c>
      <c r="T60" s="65">
        <v>5</v>
      </c>
      <c r="U60" s="66">
        <v>62</v>
      </c>
    </row>
    <row r="61" ht="14.5" spans="2:21">
      <c r="B61" s="70" t="s">
        <v>24</v>
      </c>
      <c r="C61" s="71" t="s">
        <v>2</v>
      </c>
      <c r="D61" s="51">
        <v>1</v>
      </c>
      <c r="E61" s="51">
        <v>1</v>
      </c>
      <c r="F61" s="72">
        <v>1</v>
      </c>
      <c r="G61" s="72">
        <v>1</v>
      </c>
      <c r="H61" s="73">
        <v>1</v>
      </c>
      <c r="I61" s="52">
        <v>0</v>
      </c>
      <c r="J61" s="52">
        <v>0</v>
      </c>
      <c r="K61" s="53">
        <v>0</v>
      </c>
      <c r="L61" s="52">
        <v>0</v>
      </c>
      <c r="M61" s="52">
        <v>0</v>
      </c>
      <c r="N61" s="53">
        <v>0</v>
      </c>
      <c r="O61" s="74">
        <v>1</v>
      </c>
      <c r="P61" s="74">
        <v>1</v>
      </c>
      <c r="Q61" s="74">
        <v>1</v>
      </c>
      <c r="R61" s="74">
        <v>1</v>
      </c>
      <c r="S61" s="75">
        <v>1</v>
      </c>
      <c r="T61" s="67">
        <v>0</v>
      </c>
      <c r="U61" s="68">
        <v>0</v>
      </c>
    </row>
    <row r="62" ht="14.5" spans="2:21">
      <c r="B62" s="70"/>
      <c r="C62" s="76" t="s">
        <v>3</v>
      </c>
      <c r="D62" s="77">
        <v>0.946428571428571</v>
      </c>
      <c r="E62" s="77">
        <v>0.946428571428571</v>
      </c>
      <c r="F62" s="78">
        <v>13</v>
      </c>
      <c r="G62" s="78">
        <v>13</v>
      </c>
      <c r="H62" s="79">
        <v>12</v>
      </c>
      <c r="I62" s="80">
        <v>40</v>
      </c>
      <c r="J62" s="80">
        <v>40</v>
      </c>
      <c r="K62" s="81">
        <v>40</v>
      </c>
      <c r="L62" s="80">
        <v>3</v>
      </c>
      <c r="M62" s="80">
        <v>3</v>
      </c>
      <c r="N62" s="81">
        <v>2</v>
      </c>
      <c r="O62" s="82">
        <v>56</v>
      </c>
      <c r="P62" s="82">
        <v>56</v>
      </c>
      <c r="Q62" s="82">
        <v>54</v>
      </c>
      <c r="R62" s="82">
        <v>53</v>
      </c>
      <c r="S62" s="83">
        <v>0.964285714285714</v>
      </c>
      <c r="T62" s="65">
        <v>3</v>
      </c>
      <c r="U62" s="66">
        <v>84</v>
      </c>
    </row>
    <row r="63" ht="14.5" spans="2:21">
      <c r="B63" s="70" t="s">
        <v>25</v>
      </c>
      <c r="C63" s="71" t="s">
        <v>2</v>
      </c>
      <c r="D63" s="51">
        <v>1</v>
      </c>
      <c r="E63" s="51">
        <v>1</v>
      </c>
      <c r="F63" s="72">
        <v>11</v>
      </c>
      <c r="G63" s="72">
        <v>11</v>
      </c>
      <c r="H63" s="73">
        <v>11</v>
      </c>
      <c r="I63" s="52">
        <v>0</v>
      </c>
      <c r="J63" s="52">
        <v>0</v>
      </c>
      <c r="K63" s="53">
        <v>0</v>
      </c>
      <c r="L63" s="52">
        <v>0</v>
      </c>
      <c r="M63" s="52">
        <v>0</v>
      </c>
      <c r="N63" s="53">
        <v>0</v>
      </c>
      <c r="O63" s="74">
        <v>11</v>
      </c>
      <c r="P63" s="74">
        <v>11</v>
      </c>
      <c r="Q63" s="74">
        <v>11</v>
      </c>
      <c r="R63" s="74">
        <v>11</v>
      </c>
      <c r="S63" s="75">
        <v>1</v>
      </c>
      <c r="T63" s="67">
        <v>0</v>
      </c>
      <c r="U63" s="68">
        <v>0</v>
      </c>
    </row>
    <row r="64" ht="14.5" spans="2:21">
      <c r="B64" s="70"/>
      <c r="C64" s="76" t="s">
        <v>3</v>
      </c>
      <c r="D64" s="77">
        <v>0.858490566037736</v>
      </c>
      <c r="E64" s="77">
        <v>0.858490566037736</v>
      </c>
      <c r="F64" s="78">
        <v>80</v>
      </c>
      <c r="G64" s="78">
        <v>80</v>
      </c>
      <c r="H64" s="79">
        <v>69</v>
      </c>
      <c r="I64" s="80">
        <v>11</v>
      </c>
      <c r="J64" s="80">
        <v>11</v>
      </c>
      <c r="K64" s="81">
        <v>7</v>
      </c>
      <c r="L64" s="80">
        <v>15</v>
      </c>
      <c r="M64" s="80">
        <v>15</v>
      </c>
      <c r="N64" s="81">
        <v>13</v>
      </c>
      <c r="O64" s="82">
        <v>106</v>
      </c>
      <c r="P64" s="82">
        <v>106</v>
      </c>
      <c r="Q64" s="82">
        <v>89</v>
      </c>
      <c r="R64" s="82">
        <v>91</v>
      </c>
      <c r="S64" s="83">
        <v>0.839622641509434</v>
      </c>
      <c r="T64" s="65">
        <v>15</v>
      </c>
      <c r="U64" s="66">
        <v>89</v>
      </c>
    </row>
    <row r="65" ht="14.5" spans="2:21">
      <c r="B65" s="70" t="s">
        <v>26</v>
      </c>
      <c r="C65" s="71" t="s">
        <v>2</v>
      </c>
      <c r="D65" s="51">
        <v>0.888888888888889</v>
      </c>
      <c r="E65" s="51">
        <v>0.888888888888889</v>
      </c>
      <c r="F65" s="72">
        <v>8</v>
      </c>
      <c r="G65" s="72">
        <v>8</v>
      </c>
      <c r="H65" s="73">
        <v>8</v>
      </c>
      <c r="I65" s="52">
        <v>0</v>
      </c>
      <c r="J65" s="52">
        <v>0</v>
      </c>
      <c r="K65" s="53">
        <v>0</v>
      </c>
      <c r="L65" s="52">
        <v>1</v>
      </c>
      <c r="M65" s="52">
        <v>1</v>
      </c>
      <c r="N65" s="53">
        <v>0</v>
      </c>
      <c r="O65" s="74">
        <v>9</v>
      </c>
      <c r="P65" s="74">
        <v>9</v>
      </c>
      <c r="Q65" s="74">
        <v>8</v>
      </c>
      <c r="R65" s="74">
        <v>8</v>
      </c>
      <c r="S65" s="75">
        <v>0.888888888888889</v>
      </c>
      <c r="T65" s="67">
        <v>1</v>
      </c>
      <c r="U65" s="68">
        <v>0</v>
      </c>
    </row>
    <row r="66" ht="14.5" spans="2:21">
      <c r="B66" s="70"/>
      <c r="C66" s="76" t="s">
        <v>3</v>
      </c>
      <c r="D66" s="77">
        <v>0.740506329113924</v>
      </c>
      <c r="E66" s="77">
        <v>0.746835443037975</v>
      </c>
      <c r="F66" s="78">
        <v>71</v>
      </c>
      <c r="G66" s="78">
        <v>71</v>
      </c>
      <c r="H66" s="79">
        <v>70</v>
      </c>
      <c r="I66" s="80">
        <v>47</v>
      </c>
      <c r="J66" s="80">
        <v>47</v>
      </c>
      <c r="K66" s="81">
        <v>0</v>
      </c>
      <c r="L66" s="80">
        <v>40</v>
      </c>
      <c r="M66" s="80">
        <v>40</v>
      </c>
      <c r="N66" s="81">
        <v>1</v>
      </c>
      <c r="O66" s="82">
        <v>158</v>
      </c>
      <c r="P66" s="82">
        <v>158</v>
      </c>
      <c r="Q66" s="82">
        <v>71</v>
      </c>
      <c r="R66" s="82">
        <v>118</v>
      </c>
      <c r="S66" s="83">
        <v>0.449367088607595</v>
      </c>
      <c r="T66" s="65">
        <v>40</v>
      </c>
      <c r="U66" s="66">
        <v>117</v>
      </c>
    </row>
    <row r="67" ht="14.5" spans="2:21">
      <c r="B67" s="70" t="s">
        <v>27</v>
      </c>
      <c r="C67" s="71" t="s">
        <v>2</v>
      </c>
      <c r="D67" s="51">
        <v>1</v>
      </c>
      <c r="E67" s="51">
        <v>0.875</v>
      </c>
      <c r="F67" s="72">
        <v>7</v>
      </c>
      <c r="G67" s="72">
        <v>7</v>
      </c>
      <c r="H67" s="73">
        <v>7</v>
      </c>
      <c r="I67" s="52">
        <v>1</v>
      </c>
      <c r="J67" s="52">
        <v>1</v>
      </c>
      <c r="K67" s="53">
        <v>1</v>
      </c>
      <c r="L67" s="52">
        <v>0</v>
      </c>
      <c r="M67" s="52">
        <v>0</v>
      </c>
      <c r="N67" s="53">
        <v>0</v>
      </c>
      <c r="O67" s="74">
        <v>8</v>
      </c>
      <c r="P67" s="74">
        <v>8</v>
      </c>
      <c r="Q67" s="74">
        <v>8</v>
      </c>
      <c r="R67" s="74">
        <v>7</v>
      </c>
      <c r="S67" s="75">
        <v>1</v>
      </c>
      <c r="T67" s="67">
        <v>1</v>
      </c>
      <c r="U67" s="68">
        <v>0</v>
      </c>
    </row>
    <row r="68" ht="14.5" spans="2:21">
      <c r="B68" s="70"/>
      <c r="C68" s="76" t="s">
        <v>3</v>
      </c>
      <c r="D68" s="77">
        <v>0.907216494845361</v>
      </c>
      <c r="E68" s="77">
        <v>0.896907216494845</v>
      </c>
      <c r="F68" s="78">
        <v>36</v>
      </c>
      <c r="G68" s="78">
        <v>36</v>
      </c>
      <c r="H68" s="79">
        <v>27</v>
      </c>
      <c r="I68" s="80">
        <v>51</v>
      </c>
      <c r="J68" s="80">
        <v>51</v>
      </c>
      <c r="K68" s="81">
        <v>46</v>
      </c>
      <c r="L68" s="80">
        <v>10</v>
      </c>
      <c r="M68" s="80">
        <v>10</v>
      </c>
      <c r="N68" s="81">
        <v>1</v>
      </c>
      <c r="O68" s="82">
        <v>97</v>
      </c>
      <c r="P68" s="82">
        <v>97</v>
      </c>
      <c r="Q68" s="82">
        <v>74</v>
      </c>
      <c r="R68" s="82">
        <v>87</v>
      </c>
      <c r="S68" s="83">
        <v>0.762886597938144</v>
      </c>
      <c r="T68" s="65">
        <v>10</v>
      </c>
      <c r="U68" s="66">
        <v>67</v>
      </c>
    </row>
    <row r="69" ht="14.5" spans="2:21">
      <c r="B69" s="70" t="s">
        <v>28</v>
      </c>
      <c r="C69" s="71" t="s">
        <v>2</v>
      </c>
      <c r="D69" s="51">
        <v>0.777777777777778</v>
      </c>
      <c r="E69" s="51">
        <v>0.777777777777778</v>
      </c>
      <c r="F69" s="72">
        <v>7</v>
      </c>
      <c r="G69" s="72">
        <v>7</v>
      </c>
      <c r="H69" s="73">
        <v>7</v>
      </c>
      <c r="I69" s="52">
        <v>1</v>
      </c>
      <c r="J69" s="52">
        <v>1</v>
      </c>
      <c r="K69" s="53">
        <v>1</v>
      </c>
      <c r="L69" s="52">
        <v>1</v>
      </c>
      <c r="M69" s="52">
        <v>1</v>
      </c>
      <c r="N69" s="53">
        <v>1</v>
      </c>
      <c r="O69" s="74">
        <v>9</v>
      </c>
      <c r="P69" s="74">
        <v>9</v>
      </c>
      <c r="Q69" s="74">
        <v>9</v>
      </c>
      <c r="R69" s="74">
        <v>7</v>
      </c>
      <c r="S69" s="75">
        <v>1</v>
      </c>
      <c r="T69" s="67">
        <v>2</v>
      </c>
      <c r="U69" s="68">
        <v>0</v>
      </c>
    </row>
    <row r="70" ht="14.5" spans="2:21">
      <c r="B70" s="70"/>
      <c r="C70" s="76" t="s">
        <v>3</v>
      </c>
      <c r="D70" s="77">
        <v>0.922077922077922</v>
      </c>
      <c r="E70" s="77">
        <v>0.922077922077922</v>
      </c>
      <c r="F70" s="78">
        <v>38</v>
      </c>
      <c r="G70" s="78">
        <v>38</v>
      </c>
      <c r="H70" s="79">
        <v>38</v>
      </c>
      <c r="I70" s="80">
        <v>33</v>
      </c>
      <c r="J70" s="80">
        <v>33</v>
      </c>
      <c r="K70" s="81">
        <v>20</v>
      </c>
      <c r="L70" s="80">
        <v>6</v>
      </c>
      <c r="M70" s="80">
        <v>6</v>
      </c>
      <c r="N70" s="81">
        <v>2</v>
      </c>
      <c r="O70" s="82">
        <v>77</v>
      </c>
      <c r="P70" s="82">
        <v>77</v>
      </c>
      <c r="Q70" s="82">
        <v>60</v>
      </c>
      <c r="R70" s="82">
        <v>71</v>
      </c>
      <c r="S70" s="83">
        <v>0.779220779220779</v>
      </c>
      <c r="T70" s="65">
        <v>6</v>
      </c>
      <c r="U70" s="66">
        <v>80</v>
      </c>
    </row>
    <row r="71" ht="14.5" spans="2:21">
      <c r="B71" s="70" t="s">
        <v>29</v>
      </c>
      <c r="C71" s="71" t="s">
        <v>2</v>
      </c>
      <c r="D71" s="51">
        <v>1</v>
      </c>
      <c r="E71" s="51">
        <v>1</v>
      </c>
      <c r="F71" s="72">
        <v>37</v>
      </c>
      <c r="G71" s="72">
        <v>37</v>
      </c>
      <c r="H71" s="73">
        <v>37</v>
      </c>
      <c r="I71" s="52">
        <v>0</v>
      </c>
      <c r="J71" s="52">
        <v>0</v>
      </c>
      <c r="K71" s="53">
        <v>0</v>
      </c>
      <c r="L71" s="52">
        <v>0</v>
      </c>
      <c r="M71" s="52">
        <v>0</v>
      </c>
      <c r="N71" s="53">
        <v>0</v>
      </c>
      <c r="O71" s="74">
        <v>37</v>
      </c>
      <c r="P71" s="74">
        <v>37</v>
      </c>
      <c r="Q71" s="74">
        <v>37</v>
      </c>
      <c r="R71" s="74">
        <v>37</v>
      </c>
      <c r="S71" s="75">
        <v>1</v>
      </c>
      <c r="T71" s="67">
        <v>0</v>
      </c>
      <c r="U71" s="68">
        <v>0</v>
      </c>
    </row>
    <row r="72" ht="14.5" spans="2:21">
      <c r="B72" s="70"/>
      <c r="C72" s="76" t="s">
        <v>3</v>
      </c>
      <c r="D72" s="77">
        <v>0.990825688073395</v>
      </c>
      <c r="E72" s="77">
        <v>0.990825688073395</v>
      </c>
      <c r="F72" s="78">
        <v>56</v>
      </c>
      <c r="G72" s="78">
        <v>56</v>
      </c>
      <c r="H72" s="79">
        <v>53</v>
      </c>
      <c r="I72" s="80">
        <v>160</v>
      </c>
      <c r="J72" s="80">
        <v>160</v>
      </c>
      <c r="K72" s="81">
        <v>157</v>
      </c>
      <c r="L72" s="80">
        <v>2</v>
      </c>
      <c r="M72" s="80">
        <v>2</v>
      </c>
      <c r="N72" s="81">
        <v>0</v>
      </c>
      <c r="O72" s="82">
        <v>218</v>
      </c>
      <c r="P72" s="82">
        <v>218</v>
      </c>
      <c r="Q72" s="82">
        <v>210</v>
      </c>
      <c r="R72" s="82">
        <v>216</v>
      </c>
      <c r="S72" s="83">
        <v>0.963302752293578</v>
      </c>
      <c r="T72" s="65">
        <v>2</v>
      </c>
      <c r="U72" s="66">
        <v>133</v>
      </c>
    </row>
    <row r="73" ht="14.5" spans="2:21">
      <c r="B73" s="70" t="s">
        <v>30</v>
      </c>
      <c r="C73" s="71" t="s">
        <v>2</v>
      </c>
      <c r="D73" s="51">
        <v>0.956521739130435</v>
      </c>
      <c r="E73" s="51">
        <v>0.956521739130435</v>
      </c>
      <c r="F73" s="72">
        <v>44</v>
      </c>
      <c r="G73" s="72">
        <v>44</v>
      </c>
      <c r="H73" s="73">
        <v>44</v>
      </c>
      <c r="I73" s="52">
        <v>1</v>
      </c>
      <c r="J73" s="52">
        <v>1</v>
      </c>
      <c r="K73" s="53">
        <v>1</v>
      </c>
      <c r="L73" s="52">
        <v>1</v>
      </c>
      <c r="M73" s="52">
        <v>1</v>
      </c>
      <c r="N73" s="53">
        <v>1</v>
      </c>
      <c r="O73" s="74">
        <v>46</v>
      </c>
      <c r="P73" s="74">
        <v>46</v>
      </c>
      <c r="Q73" s="74">
        <v>46</v>
      </c>
      <c r="R73" s="74">
        <v>44</v>
      </c>
      <c r="S73" s="75">
        <v>1</v>
      </c>
      <c r="T73" s="67">
        <v>2</v>
      </c>
      <c r="U73" s="68">
        <v>1</v>
      </c>
    </row>
    <row r="74" ht="14.5" spans="2:21">
      <c r="B74" s="70"/>
      <c r="C74" s="76" t="s">
        <v>3</v>
      </c>
      <c r="D74" s="77">
        <v>0.940425531914894</v>
      </c>
      <c r="E74" s="77">
        <v>0.940425531914894</v>
      </c>
      <c r="F74" s="78">
        <v>161</v>
      </c>
      <c r="G74" s="78">
        <v>161</v>
      </c>
      <c r="H74" s="79">
        <v>158</v>
      </c>
      <c r="I74" s="80">
        <v>60</v>
      </c>
      <c r="J74" s="80">
        <v>60</v>
      </c>
      <c r="K74" s="81">
        <v>40</v>
      </c>
      <c r="L74" s="80">
        <v>14</v>
      </c>
      <c r="M74" s="80">
        <v>14</v>
      </c>
      <c r="N74" s="81">
        <v>3</v>
      </c>
      <c r="O74" s="82">
        <v>235</v>
      </c>
      <c r="P74" s="82">
        <v>235</v>
      </c>
      <c r="Q74" s="82">
        <v>201</v>
      </c>
      <c r="R74" s="82">
        <v>221</v>
      </c>
      <c r="S74" s="83">
        <v>0.85531914893617</v>
      </c>
      <c r="T74" s="65">
        <v>14</v>
      </c>
      <c r="U74" s="66">
        <v>112</v>
      </c>
    </row>
    <row r="75" ht="14.5" spans="2:21">
      <c r="B75" s="70" t="s">
        <v>31</v>
      </c>
      <c r="C75" s="71" t="s">
        <v>2</v>
      </c>
      <c r="D75" s="51">
        <v>1</v>
      </c>
      <c r="E75" s="51">
        <v>1</v>
      </c>
      <c r="F75" s="72">
        <v>10</v>
      </c>
      <c r="G75" s="72">
        <v>10</v>
      </c>
      <c r="H75" s="73">
        <v>10</v>
      </c>
      <c r="I75" s="52">
        <v>0</v>
      </c>
      <c r="J75" s="52">
        <v>0</v>
      </c>
      <c r="K75" s="53">
        <v>0</v>
      </c>
      <c r="L75" s="52">
        <v>0</v>
      </c>
      <c r="M75" s="52">
        <v>0</v>
      </c>
      <c r="N75" s="53">
        <v>0</v>
      </c>
      <c r="O75" s="74">
        <v>10</v>
      </c>
      <c r="P75" s="74">
        <v>10</v>
      </c>
      <c r="Q75" s="74">
        <v>10</v>
      </c>
      <c r="R75" s="74">
        <v>10</v>
      </c>
      <c r="S75" s="75">
        <v>1</v>
      </c>
      <c r="T75" s="67">
        <v>0</v>
      </c>
      <c r="U75" s="68">
        <v>0</v>
      </c>
    </row>
    <row r="76" ht="14.5" spans="2:21">
      <c r="B76" s="70"/>
      <c r="C76" s="76" t="s">
        <v>3</v>
      </c>
      <c r="D76" s="77">
        <v>1</v>
      </c>
      <c r="E76" s="77">
        <v>1</v>
      </c>
      <c r="F76" s="78">
        <v>68</v>
      </c>
      <c r="G76" s="78">
        <v>68</v>
      </c>
      <c r="H76" s="79">
        <v>68</v>
      </c>
      <c r="I76" s="80">
        <v>62</v>
      </c>
      <c r="J76" s="80">
        <v>62</v>
      </c>
      <c r="K76" s="81">
        <v>60</v>
      </c>
      <c r="L76" s="80">
        <v>0</v>
      </c>
      <c r="M76" s="80">
        <v>0</v>
      </c>
      <c r="N76" s="81">
        <v>0</v>
      </c>
      <c r="O76" s="82">
        <v>130</v>
      </c>
      <c r="P76" s="82">
        <v>130</v>
      </c>
      <c r="Q76" s="82">
        <v>128</v>
      </c>
      <c r="R76" s="82">
        <v>130</v>
      </c>
      <c r="S76" s="83">
        <v>0.984615384615385</v>
      </c>
      <c r="T76" s="65">
        <v>0</v>
      </c>
      <c r="U76" s="66">
        <v>69</v>
      </c>
    </row>
    <row r="77" ht="14.5" spans="2:21">
      <c r="B77" s="70" t="s">
        <v>32</v>
      </c>
      <c r="C77" s="71" t="s">
        <v>2</v>
      </c>
      <c r="D77" s="51">
        <v>0.956521739130435</v>
      </c>
      <c r="E77" s="51">
        <v>1</v>
      </c>
      <c r="F77" s="72">
        <v>23</v>
      </c>
      <c r="G77" s="72">
        <v>23</v>
      </c>
      <c r="H77" s="73">
        <v>23</v>
      </c>
      <c r="I77" s="52">
        <v>0</v>
      </c>
      <c r="J77" s="52">
        <v>0</v>
      </c>
      <c r="K77" s="53">
        <v>0</v>
      </c>
      <c r="L77" s="52">
        <v>0</v>
      </c>
      <c r="M77" s="52">
        <v>0</v>
      </c>
      <c r="N77" s="53">
        <v>0</v>
      </c>
      <c r="O77" s="74">
        <v>23</v>
      </c>
      <c r="P77" s="74">
        <v>23</v>
      </c>
      <c r="Q77" s="74">
        <v>23</v>
      </c>
      <c r="R77" s="74">
        <v>23</v>
      </c>
      <c r="S77" s="75">
        <v>1</v>
      </c>
      <c r="T77" s="67">
        <v>0</v>
      </c>
      <c r="U77" s="68">
        <v>1</v>
      </c>
    </row>
    <row r="78" ht="14.5" spans="2:21">
      <c r="B78" s="70"/>
      <c r="C78" s="76" t="s">
        <v>3</v>
      </c>
      <c r="D78" s="77">
        <v>0.994897959183674</v>
      </c>
      <c r="E78" s="77">
        <v>0.994897959183674</v>
      </c>
      <c r="F78" s="78">
        <v>166</v>
      </c>
      <c r="G78" s="78">
        <v>166</v>
      </c>
      <c r="H78" s="79">
        <v>163</v>
      </c>
      <c r="I78" s="80">
        <v>29</v>
      </c>
      <c r="J78" s="80">
        <v>29</v>
      </c>
      <c r="K78" s="81">
        <v>15</v>
      </c>
      <c r="L78" s="80">
        <v>1</v>
      </c>
      <c r="M78" s="80">
        <v>1</v>
      </c>
      <c r="N78" s="81">
        <v>1</v>
      </c>
      <c r="O78" s="82">
        <v>196</v>
      </c>
      <c r="P78" s="82">
        <v>196</v>
      </c>
      <c r="Q78" s="82">
        <v>179</v>
      </c>
      <c r="R78" s="82">
        <v>195</v>
      </c>
      <c r="S78" s="83">
        <v>0.913265306122449</v>
      </c>
      <c r="T78" s="65">
        <v>1</v>
      </c>
      <c r="U78" s="66">
        <v>119</v>
      </c>
    </row>
    <row r="79" ht="14.5" spans="2:21">
      <c r="B79" s="70" t="s">
        <v>33</v>
      </c>
      <c r="C79" s="71" t="s">
        <v>2</v>
      </c>
      <c r="D79" s="51">
        <v>1</v>
      </c>
      <c r="E79" s="51">
        <v>1</v>
      </c>
      <c r="F79" s="72">
        <v>7</v>
      </c>
      <c r="G79" s="72">
        <v>7</v>
      </c>
      <c r="H79" s="73">
        <v>7</v>
      </c>
      <c r="I79" s="52">
        <v>0</v>
      </c>
      <c r="J79" s="52">
        <v>0</v>
      </c>
      <c r="K79" s="53">
        <v>0</v>
      </c>
      <c r="L79" s="52">
        <v>0</v>
      </c>
      <c r="M79" s="52">
        <v>0</v>
      </c>
      <c r="N79" s="53">
        <v>0</v>
      </c>
      <c r="O79" s="74">
        <v>7</v>
      </c>
      <c r="P79" s="74">
        <v>7</v>
      </c>
      <c r="Q79" s="74">
        <v>7</v>
      </c>
      <c r="R79" s="74">
        <v>7</v>
      </c>
      <c r="S79" s="75">
        <v>1</v>
      </c>
      <c r="T79" s="56">
        <v>0</v>
      </c>
      <c r="U79" s="57">
        <v>0</v>
      </c>
    </row>
    <row r="80" ht="14.5" spans="2:21">
      <c r="B80" s="70"/>
      <c r="C80" s="76" t="s">
        <v>3</v>
      </c>
      <c r="D80" s="77">
        <v>0.982758620689655</v>
      </c>
      <c r="E80" s="77">
        <v>0.982758620689655</v>
      </c>
      <c r="F80" s="78">
        <v>7</v>
      </c>
      <c r="G80" s="78">
        <v>7</v>
      </c>
      <c r="H80" s="79">
        <v>7</v>
      </c>
      <c r="I80" s="80">
        <v>107</v>
      </c>
      <c r="J80" s="80">
        <v>107</v>
      </c>
      <c r="K80" s="81">
        <v>105</v>
      </c>
      <c r="L80" s="80">
        <v>2</v>
      </c>
      <c r="M80" s="80">
        <v>2</v>
      </c>
      <c r="N80" s="81">
        <v>2</v>
      </c>
      <c r="O80" s="82">
        <v>116</v>
      </c>
      <c r="P80" s="82">
        <v>116</v>
      </c>
      <c r="Q80" s="82">
        <v>114</v>
      </c>
      <c r="R80" s="82">
        <v>114</v>
      </c>
      <c r="S80" s="83">
        <v>0.982758620689655</v>
      </c>
      <c r="T80" s="65">
        <v>2</v>
      </c>
      <c r="U80" s="66">
        <v>81</v>
      </c>
    </row>
    <row r="81" ht="14.5" spans="2:21">
      <c r="B81" s="84" t="s">
        <v>49</v>
      </c>
      <c r="C81" s="71" t="s">
        <v>2</v>
      </c>
      <c r="D81" s="51">
        <v>1</v>
      </c>
      <c r="E81" s="51">
        <v>1</v>
      </c>
      <c r="F81" s="72">
        <v>14</v>
      </c>
      <c r="G81" s="72">
        <v>14</v>
      </c>
      <c r="H81" s="73">
        <v>14</v>
      </c>
      <c r="I81" s="52">
        <v>0</v>
      </c>
      <c r="J81" s="52">
        <v>0</v>
      </c>
      <c r="K81" s="53">
        <v>0</v>
      </c>
      <c r="L81" s="52">
        <v>0</v>
      </c>
      <c r="M81" s="52">
        <v>0</v>
      </c>
      <c r="N81" s="53">
        <v>0</v>
      </c>
      <c r="O81" s="74">
        <v>14</v>
      </c>
      <c r="P81" s="74">
        <v>14</v>
      </c>
      <c r="Q81" s="74">
        <v>14</v>
      </c>
      <c r="R81" s="74">
        <v>14</v>
      </c>
      <c r="S81" s="75">
        <v>1</v>
      </c>
      <c r="T81" s="56">
        <v>0</v>
      </c>
      <c r="U81" s="57">
        <v>0</v>
      </c>
    </row>
    <row r="82" ht="14.5" spans="2:21">
      <c r="B82" s="84"/>
      <c r="C82" s="76" t="s">
        <v>3</v>
      </c>
      <c r="D82" s="77">
        <v>1</v>
      </c>
      <c r="E82" s="77">
        <v>1</v>
      </c>
      <c r="F82" s="78">
        <v>8</v>
      </c>
      <c r="G82" s="78">
        <v>8</v>
      </c>
      <c r="H82" s="79">
        <v>8</v>
      </c>
      <c r="I82" s="80">
        <v>0</v>
      </c>
      <c r="J82" s="80">
        <v>0</v>
      </c>
      <c r="K82" s="81">
        <v>0</v>
      </c>
      <c r="L82" s="80">
        <v>0</v>
      </c>
      <c r="M82" s="80">
        <v>0</v>
      </c>
      <c r="N82" s="81">
        <v>0</v>
      </c>
      <c r="O82" s="82">
        <v>8</v>
      </c>
      <c r="P82" s="82">
        <v>8</v>
      </c>
      <c r="Q82" s="82">
        <v>8</v>
      </c>
      <c r="R82" s="82">
        <v>8</v>
      </c>
      <c r="S82" s="83">
        <v>1</v>
      </c>
      <c r="T82" s="65">
        <v>0</v>
      </c>
      <c r="U82" s="66">
        <v>0</v>
      </c>
    </row>
  </sheetData>
  <mergeCells count="40">
    <mergeCell ref="AB5:AE5"/>
    <mergeCell ref="AF5:AI5"/>
    <mergeCell ref="AJ5:AM5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C3:C5"/>
    <mergeCell ref="E3:E5"/>
    <mergeCell ref="F3:F5"/>
    <mergeCell ref="G3:G5"/>
    <mergeCell ref="I3:I5"/>
    <mergeCell ref="J3:J5"/>
    <mergeCell ref="K3:K5"/>
    <mergeCell ref="M3:M5"/>
    <mergeCell ref="N3:N5"/>
    <mergeCell ref="AA5:AA6"/>
    <mergeCell ref="C1:F2"/>
    <mergeCell ref="G1:J2"/>
    <mergeCell ref="K1:N2"/>
  </mergeCells>
  <conditionalFormatting sqref="AC8:AC28">
    <cfRule type="top10" dxfId="4" priority="12" rank="5"/>
    <cfRule type="top10" dxfId="3" priority="11" bottom="1" rank="5"/>
  </conditionalFormatting>
  <conditionalFormatting sqref="AE8:AE28">
    <cfRule type="top10" dxfId="2" priority="10" rank="5"/>
    <cfRule type="top10" dxfId="3" priority="9" bottom="1" rank="5"/>
  </conditionalFormatting>
  <conditionalFormatting sqref="AG8:AG28">
    <cfRule type="top10" dxfId="2" priority="8" rank="5"/>
    <cfRule type="top10" dxfId="3" priority="7" bottom="1" rank="5"/>
  </conditionalFormatting>
  <conditionalFormatting sqref="AI8:AI28">
    <cfRule type="top10" dxfId="2" priority="6" rank="5"/>
    <cfRule type="top10" dxfId="3" priority="5" bottom="1" rank="5"/>
  </conditionalFormatting>
  <conditionalFormatting sqref="AK8:AK28">
    <cfRule type="top10" dxfId="2" priority="4" rank="5"/>
    <cfRule type="top10" dxfId="3" priority="3" bottom="1" rank="5"/>
  </conditionalFormatting>
  <conditionalFormatting sqref="AM8:AM28">
    <cfRule type="top10" dxfId="2" priority="2" rank="5"/>
    <cfRule type="top10" dxfId="3" priority="1" bottom="1" rank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全量统计</vt:lpstr>
      <vt:lpstr>全量收入正增长统计</vt:lpstr>
      <vt:lpstr>集团规上统计</vt:lpstr>
      <vt:lpstr>专精特新统计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tianj</dc:creator>
  <cp:lastModifiedBy>tianj</cp:lastModifiedBy>
  <dcterms:created xsi:type="dcterms:W3CDTF">2025-12-26T01:56:00Z</dcterms:created>
  <dcterms:modified xsi:type="dcterms:W3CDTF">2026-10-08T03:17:00Z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11075716819A4950B87EEE1665AFADF0_13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2052-12.1.0.28488</vt:lpwstr>
  </property>
  <property fmtid="{D5CDD505-2E9C-101B-9397-08002B2CF9AE}" pid="5" name="CalculationRule">
    <vt:i4>1</vt:i4>
  </property>
</Properties>
</file>